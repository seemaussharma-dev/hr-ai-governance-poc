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0ba3f8617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d8a500e995c431d"/>
    <x:sheet xmlns:r="http://schemas.openxmlformats.org/officeDocument/2006/relationships" name="4D x 4S Matrix" sheetId="2" r:id="Rb85f0a3066cd4dbd"/>
    <x:sheet xmlns:r="http://schemas.openxmlformats.org/officeDocument/2006/relationships" name="Implementation Tracker" sheetId="3" r:id="Ra44e3136847c43a8"/>
    <x:sheet xmlns:r="http://schemas.openxmlformats.org/officeDocument/2006/relationships" name="Regulatory Traceability" sheetId="4" r:id="R7eef3f6190a146e9"/>
    <x:sheet xmlns:r="http://schemas.openxmlformats.org/officeDocument/2006/relationships" name="Test Evidence" sheetId="5" r:id="R1e3bbd000191462c"/>
    <x:sheet xmlns:r="http://schemas.openxmlformats.org/officeDocument/2006/relationships" name="Dashboard" sheetId="6" r:id="Rfffaa565dbca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2"/>
      <x:color rgb="FFFFFFFF"/>
      <x:name val="Carlito"/>
    </x:font>
    <x:font>
      <x:b/>
      <x:sz val="11"/>
      <x:color rgb="FF0F4C5C"/>
      <x:name val="Carlito"/>
    </x:font>
    <x:font>
      <x:i/>
      <x:sz val="11"/>
      <x:color rgb="FF0F4C5C"/>
      <x:name val="Carlito"/>
    </x:font>
    <x:font>
      <x:b/>
      <x:sz val="11"/>
      <x:color rgb="FF7F6000"/>
      <x:name val="Carlito"/>
    </x:font>
    <x:font>
      <x:b/>
      <x:sz val="11"/>
      <x:color rgb="FF2E7D32"/>
      <x:name val="Carlito"/>
    </x:font>
    <x:font>
      <x:b/>
      <x:sz val="16"/>
      <x:color rgb="FF17365D"/>
      <x:name val="Carlito"/>
    </x:font>
    <x:font>
      <x:b/>
      <x:sz val="14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EAF4F4"/>
      </x:patternFill>
    </x:fill>
    <x:fill>
      <x:patternFill patternType="solid">
        <x:fgColor rgb="FFFFF2CC"/>
      </x:patternFill>
    </x:fill>
    <x:fill>
      <x:patternFill patternType="solid">
        <x:fgColor rgb="FFDFF0D8"/>
      </x:patternFill>
    </x:fill>
    <x:fill>
      <x:patternFill patternType="solid">
        <x:fgColor rgb="FFFFFFFF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0" fontId="8" fillId="8" borderId="0" xfId="0" applyNumberFormat="1" applyFont="1" applyFill="1" applyBorder="1"/>
    <x:xf numFmtId="20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20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200" fontId="8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200" fontId="0" fillId="8" borderId="1" xfId="0" applyNumberFormat="1" applyFont="1" applyFill="1" applyBorder="1"/>
    <x:xf numFmtId="0" fontId="8" fillId="8" borderId="1" xfId="0" applyNumberFormat="1" applyFont="1" applyFill="1" applyBorder="1"/>
    <x:xf numFmtId="20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200" fontId="8" fillId="8" borderId="1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horizontal="center" vertical="center"/>
    </x:xf>
    <x:xf numFmtId="200" fontId="8" fillId="8" borderId="1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horizontal="center"/>
    </x:xf>
    <x:xf numFmtId="0" fontId="9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left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ont>
        <x:b/>
        <x:color rgb="FF2E7D32"/>
      </x:font>
      <x:fill>
        <x:patternFill patternType="solid">
          <x:bgColor rgb="FFDFF0D8"/>
        </x:patternFill>
      </x:fill>
    </x:dxf>
    <x:dxf>
      <x:font>
        <x:b/>
        <x:color rgb="FF8A6D1D"/>
      </x:font>
      <x:fill>
        <x:patternFill patternType="solid">
          <x:bgColor rgb="FFFFF2CC"/>
        </x:patternFill>
      </x:fill>
    </x:dxf>
    <x:dxf>
      <x:font>
        <x:b/>
        <x:color rgb="FFA64B00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DFF0D8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A64B00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DFF0D8"/>
        </x:patternFill>
      </x:fill>
    </x:dxf>
    <x:dxf>
      <x:font>
        <x:b/>
        <x:color rgb="FFA64B00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DFF0D8"/>
        </x:patternFill>
      </x:fill>
    </x:dxf>
    <x:dxf>
      <x:font>
        <x:b/>
        <x:color rgb="FF2E7D32"/>
      </x:font>
      <x:fill>
        <x:patternFill patternType="solid">
          <x:bgColor rgb="FFDFF0D8"/>
        </x:patternFill>
      </x:fill>
    </x:dxf>
    <x:dxf>
      <x:font>
        <x:b/>
        <x:color rgb="FFA64B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7006f83b54b48" /><Relationship Type="http://schemas.openxmlformats.org/officeDocument/2006/relationships/theme" Target="/xl/theme/theme1.xml" Id="Rbc14283971574b66" /><Relationship Type="http://schemas.openxmlformats.org/officeDocument/2006/relationships/sharedStrings" Target="/xl/sharedStrings.xml" Id="R6c9fddbbfecb4319" /><Relationship Type="http://schemas.openxmlformats.org/officeDocument/2006/relationships/worksheet" Target="/xl/worksheets/sheet1.xml" Id="R5d8a500e995c431d" /><Relationship Type="http://schemas.openxmlformats.org/officeDocument/2006/relationships/worksheet" Target="/xl/worksheets/sheet2.xml" Id="Rb85f0a3066cd4dbd" /><Relationship Type="http://schemas.openxmlformats.org/officeDocument/2006/relationships/worksheet" Target="/xl/worksheets/sheet3.xml" Id="Ra44e3136847c43a8" /><Relationship Type="http://schemas.openxmlformats.org/officeDocument/2006/relationships/worksheet" Target="/xl/worksheets/sheet4.xml" Id="R7eef3f6190a146e9" /><Relationship Type="http://schemas.openxmlformats.org/officeDocument/2006/relationships/worksheet" Target="/xl/worksheets/sheet5.xml" Id="R1e3bbd000191462c" /><Relationship Type="http://schemas.openxmlformats.org/officeDocument/2006/relationships/worksheet" Target="/xl/worksheets/sheet6.xml" Id="Rfffaa565dbca44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5b80882a634225" /><Relationship Type="http://schemas.openxmlformats.org/officeDocument/2006/relationships/chart" Target="/xl/drawings/charts/chart2.xml" Id="R18fe654b5f3a49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Activities by 4D Stage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Activities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'Dashboard'!$C$11:$C$14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Activities by 4S Pillar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Activities</c:v>
          </c:tx>
          <c:cat>
            <c:strRef>
              <c:f>'Dashboard'!$F$11:$F$14</c:f>
              <c:strCache>
                <c:ptCount val="0"/>
              </c:strCache>
            </c:strRef>
          </c:cat>
          <c:val>
            <c:numRef>
              <c:f>'Dashboard'!$G$11:$G$14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'Dashboard'!$F$11:$F$14</c:f>
              <c:strCache>
                <c:ptCount val="0"/>
              </c:strCache>
            </c:strRef>
          </c:cat>
          <c:val>
            <c:numRef>
              <c:f>'Dashboard'!$H$11:$H$14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31</xdr:row>
      <xdr:rowOff>0</xdr:rowOff>
    </xdr:from>
    <xdr:to>
      <xdr:col>5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5b80882a634225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10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fe654b5f3a499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trix4D4STable" displayName="Matrix4D4STable" ref="A5:I21" headerRowCount="1">
  <x:tableColumns count="9">
    <x:tableColumn id="1" name="4D Stage"/>
    <x:tableColumn id="2" name="4S Pillar"/>
    <x:tableColumn id="3" name="Key Question"/>
    <x:tableColumn id="4" name="Practical POC Implementation"/>
    <x:tableColumn id="5" name="Why Required"/>
    <x:tableColumn id="6" name="Evidence / Artifact"/>
    <x:tableColumn id="7" name="Regulatory Alignment"/>
    <x:tableColumn id="8" name="Business / Governance Outcome"/>
    <x:tableColumn id="9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ImplementationTrackerTable" displayName="ImplementationTrackerTable" ref="A5:M52" headerRowCount="1">
  <x:tableColumns count="13">
    <x:tableColumn id="1" name="ID"/>
    <x:tableColumn id="2" name="4D Stage"/>
    <x:tableColumn id="3" name="4S Pillar"/>
    <x:tableColumn id="4" name="Activity"/>
    <x:tableColumn id="5" name="Why Required"/>
    <x:tableColumn id="6" name="Practical Implementation"/>
    <x:tableColumn id="7" name="Code / Document"/>
    <x:tableColumn id="8" name="Regulatory Link"/>
    <x:tableColumn id="9" name="Owner"/>
    <x:tableColumn id="10" name="Priority"/>
    <x:tableColumn id="11" name="Status"/>
    <x:tableColumn id="12" name="Evidence / Result"/>
    <x:tableColumn id="13" name="Progress %"/>
  </x:tableColumns>
  <x:tableStyleInfo name="TableStyleMedium2" showRowStripes="1"/>
</x:table>
</file>

<file path=xl/tables/table3.xml><?xml version="1.0" encoding="utf-8"?>
<x:table xmlns:x="http://schemas.openxmlformats.org/spreadsheetml/2006/main" id="3" name="RegulatoryTraceabilityTable" displayName="RegulatoryTraceabilityTable" ref="A5:H37" headerRowCount="1">
  <x:tableColumns count="8">
    <x:tableColumn id="1" name="Framework"/>
    <x:tableColumn id="2" name="Theme / Requirement"/>
    <x:tableColumn id="3" name="Control ID"/>
    <x:tableColumn id="4" name="Practical Implementation"/>
    <x:tableColumn id="5" name="Code / Document"/>
    <x:tableColumn id="6" name="Test / Evidence"/>
    <x:tableColumn id="7" name="Status"/>
    <x:tableColumn id="8" name="Official Source"/>
  </x:tableColumns>
  <x:tableStyleInfo name="TableStyleMedium2" showRowStripes="1"/>
</x:table>
</file>

<file path=xl/tables/table4.xml><?xml version="1.0" encoding="utf-8"?>
<x:table xmlns:x="http://schemas.openxmlformats.org/spreadsheetml/2006/main" id="4" name="TestEvidenceTable" displayName="TestEvidenceTable" ref="A5:H26" headerRowCount="1">
  <x:tableColumns count="8">
    <x:tableColumn id="1" name="Test ID"/>
    <x:tableColumn id="2" name="Automated Test Name"/>
    <x:tableColumn id="3" name="Scenario"/>
    <x:tableColumn id="4" name="Expected Control Result"/>
    <x:tableColumn id="5" name="Primary Control"/>
    <x:tableColumn id="6" name="Framework Theme"/>
    <x:tableColumn id="7" name="Result"/>
    <x:tableColumn id="8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e4f55e689c4d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c563c063704e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f1aa264b2343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887178e90041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bcc4e751edba445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3" hidden="0" customWidth="1"/>
    <x:col min="4" max="4" width="16" hidden="0" customWidth="1"/>
    <x:col min="5" max="5" width="42" hidden="0" customWidth="1"/>
    <x:col min="6" max="6" width="3" hidden="0" customWidth="1"/>
    <x:col min="7" max="7" width="16" hidden="0" customWidth="1"/>
    <x:col min="8" max="8" width="42" hidden="0" customWidth="1"/>
  </x:cols>
  <x:sheetData>
    <x:row r="1">
      <x:c r="A1" s="43" t="str">
        <x:v>4D × 4S AI Governance Implementation Workbook</x:v>
      </x:c>
      <x:c r="B1" s="43"/>
      <x:c r="C1" s="43"/>
      <x:c r="D1" s="43"/>
      <x:c r="E1" s="43"/>
      <x:c r="F1" s="43"/>
      <x:c r="G1" s="43"/>
      <x:c r="H1" s="43"/>
    </x:row>
    <x:row r="2">
      <x:c r="A2" s="43"/>
      <x:c r="B2" s="43"/>
      <x:c r="C2" s="43"/>
      <x:c r="D2" s="43"/>
      <x:c r="E2" s="43"/>
      <x:c r="F2" s="43"/>
      <x:c r="G2" s="43"/>
      <x:c r="H2" s="43"/>
    </x:row>
    <x:row r="3">
      <x:c r="A3" s="37" t="str">
        <x:v>Project: ssp-dev-hr-aigovern-poc | Stage 1 | Updated 16 July 2026</x:v>
      </x:c>
      <x:c r="B3" s="37"/>
      <x:c r="C3" s="37"/>
      <x:c r="D3" s="37"/>
      <x:c r="E3" s="37"/>
      <x:c r="F3" s="37"/>
      <x:c r="G3" s="37"/>
      <x:c r="H3" s="37"/>
    </x:row>
    <x:row r="4">
      <x:c r="A4" s="29"/>
      <x:c r="B4" s="29"/>
      <x:c r="C4" s="29"/>
      <x:c r="D4" s="29"/>
      <x:c r="E4" s="29"/>
      <x:c r="F4" s="29"/>
      <x:c r="G4" s="29"/>
      <x:c r="H4" s="29"/>
    </x:row>
    <x:row r="5">
      <x:c r="A5" s="44" t="str">
        <x:v>Purpose and positioning</x:v>
      </x:c>
      <x:c r="B5" s="44"/>
      <x:c r="C5" s="44"/>
      <x:c r="D5" s="44" t="str">
        <x:v>Framework definitions used in this workbook</x:v>
      </x:c>
      <x:c r="E5" s="44"/>
      <x:c r="F5" s="44"/>
      <x:c r="G5" s="44"/>
      <x:c r="H5" s="44"/>
    </x:row>
    <x:row r="6">
      <x:c r="A6" s="32" t="str">
        <x:v>Business problem</x:v>
      </x:c>
      <x:c r="B6" s="33" t="str">
        <x:v>HR teams repeatedly answer leave, remote-work, and expense-policy questions. An uncontrolled assistant could expose personal data, return unsupported policy information, or influence employment decisions.</x:v>
      </x:c>
      <x:c r="C6" s="29"/>
      <x:c r="D6" s="38" t="str">
        <x:v>4D</x:v>
      </x:c>
      <x:c r="E6" s="38" t="str">
        <x:v>Meaning</x:v>
      </x:c>
      <x:c r="F6" s="29"/>
      <x:c r="G6" s="38" t="str">
        <x:v>4S</x:v>
      </x:c>
      <x:c r="H6" s="38" t="str">
        <x:v>Meaning</x:v>
      </x:c>
    </x:row>
    <x:row r="7">
      <x:c r="A7" s="32" t="str">
        <x:v>Stage 1 solution</x:v>
      </x:c>
      <x:c r="B7" s="33" t="str">
        <x:v>A deterministic, rule-based HR policy assistant using synthetic policies, preventive guardrails, approved-source retrieval, extractive answers, source traceability, human escalation, and privacy-minimized audit records.</x:v>
      </x:c>
      <x:c r="C7" s="29"/>
      <x:c r="D7" s="29" t="str">
        <x:v>Discover</x:v>
      </x:c>
      <x:c r="E7" s="29" t="str">
        <x:v>Understand the business problem, stakeholders, risks, data, and desired outcomes.</x:v>
      </x:c>
      <x:c r="F7" s="29"/>
      <x:c r="G7" s="29" t="str">
        <x:v>Strategy</x:v>
      </x:c>
      <x:c r="H7" s="29" t="str">
        <x:v>Why the POC exists, who owns it, and how it supports the business.</x:v>
      </x:c>
    </x:row>
    <x:row r="8">
      <x:c r="A8" s="32" t="str">
        <x:v>Current technology</x:v>
      </x:c>
      <x:c r="B8" s="33" t="str">
        <x:v>Python, Streamlit, GitHub, GitHub Actions, unittest, pip-audit, synthetic policy documents.</x:v>
      </x:c>
      <x:c r="C8" s="29"/>
      <x:c r="D8" s="29" t="str">
        <x:v>Define</x:v>
      </x:c>
      <x:c r="E8" s="29" t="str">
        <x:v>Set scope, ownership, requirements, regulatory expectations, risk acceptance, and success criteria.</x:v>
      </x:c>
      <x:c r="F8" s="29"/>
      <x:c r="G8" s="29" t="str">
        <x:v>Scope</x:v>
      </x:c>
      <x:c r="H8" s="29" t="str">
        <x:v>What the system may do, must not do, and when reassessment is required.</x:v>
      </x:c>
    </x:row>
    <x:row r="9">
      <x:c r="A9" s="32" t="str">
        <x:v>Current model</x:v>
      </x:c>
      <x:c r="B9" s="33" t="str">
        <x:v>No external AI/LLM in Stage 1. Claude is intentionally deferred to Stage 2 until supplier, privacy, security, model-risk, and output controls are approved.</x:v>
      </x:c>
      <x:c r="C9" s="29"/>
      <x:c r="D9" s="29" t="str">
        <x:v>Design</x:v>
      </x:c>
      <x:c r="E9" s="29" t="str">
        <x:v>Translate requirements into architecture, safeguards, tests, traceability, and operational controls.</x:v>
      </x:c>
      <x:c r="F9" s="29"/>
      <x:c r="G9" s="29" t="str">
        <x:v>Safeguards</x:v>
      </x:c>
      <x:c r="H9" s="29" t="str">
        <x:v>Privacy, security, human oversight, accuracy, testing, logging, and change controls.</x:v>
      </x:c>
    </x:row>
    <x:row r="10">
      <x:c r="A10" s="32" t="str">
        <x:v>Demonstrated outcome</x:v>
      </x:c>
      <x:c r="B10" s="33" t="str">
        <x:v>Public working POC, 21 automated tests, CI smoke test, no known dependency vulnerabilities, no tracked secrets, documented defect correction and regression protection.</x:v>
      </x:c>
      <x:c r="C10" s="29"/>
      <x:c r="D10" s="29" t="str">
        <x:v>Deliver</x:v>
      </x:c>
      <x:c r="E10" s="29" t="str">
        <x:v>Build, test, deploy, monitor, document evidence, correct defects, and prepare the next stage.</x:v>
      </x:c>
      <x:c r="F10" s="29"/>
      <x:c r="G10" s="29" t="str">
        <x:v>Success</x:v>
      </x:c>
      <x:c r="H10" s="29" t="str">
        <x:v>Measurable evidence that the system is useful, controlled, tested, and reviewable.</x:v>
      </x:c>
    </x:row>
    <x:row r="11">
      <x:c r="A11" s="32" t="str">
        <x:v>Important statement</x:v>
      </x:c>
      <x:c r="B11" s="33" t="str">
        <x:v>This workbook demonstrates control alignment and practical implementation. It is not legal advice, certification, or a claim of full regulatory compliance.</x:v>
      </x:c>
      <x:c r="C11" s="29"/>
      <x:c r="D11" s="29"/>
      <x:c r="E11" s="29"/>
      <x:c r="F11" s="29"/>
      <x:c r="G11" s="29" t="str">
        <x:v>Note</x:v>
      </x:c>
      <x:c r="H11" s="29" t="str">
        <x:v>The 4D × 4S model is a project-specific organizing framework, not a regulatory standard.</x:v>
      </x:c>
    </x:row>
    <x:row r="12">
      <x:c r="A12" s="29"/>
      <x:c r="B12" s="29"/>
      <x:c r="C12" s="29"/>
      <x:c r="D12" s="29"/>
      <x:c r="E12" s="29"/>
      <x:c r="F12" s="29"/>
      <x:c r="G12" s="29"/>
      <x:c r="H12" s="29"/>
    </x:row>
    <x:row r="13">
      <x:c r="A13" s="44" t="str">
        <x:v>Workbook guide</x:v>
      </x:c>
      <x:c r="B13" s="44"/>
      <x:c r="C13" s="44"/>
      <x:c r="D13" s="44"/>
      <x:c r="E13" s="44"/>
      <x:c r="F13" s="44"/>
      <x:c r="G13" s="44"/>
      <x:c r="H13" s="44"/>
    </x:row>
    <x:row r="14">
      <x:c r="A14" s="38" t="str">
        <x:v>Sheet</x:v>
      </x:c>
      <x:c r="B14" s="38" t="str">
        <x:v>Purpose</x:v>
      </x:c>
      <x:c r="C14" s="29" t="str"/>
      <x:c r="D14" s="29" t="str"/>
      <x:c r="E14" s="29" t="str"/>
      <x:c r="F14" s="29" t="str"/>
      <x:c r="G14" s="29" t="str"/>
      <x:c r="H14" s="29" t="str"/>
    </x:row>
    <x:row r="15">
      <x:c r="A15" s="29" t="str">
        <x:v>4D x 4S Matrix</x:v>
      </x:c>
      <x:c r="B15" s="29" t="str">
        <x:v>One-page view of the 16 combinations of lifecycle stage and governance pillar.</x:v>
      </x:c>
      <x:c r="C15" s="29" t="str"/>
      <x:c r="D15" s="29" t="str"/>
      <x:c r="E15" s="29" t="str"/>
      <x:c r="F15" s="29" t="str"/>
      <x:c r="G15" s="29" t="str"/>
      <x:c r="H15" s="29" t="str"/>
    </x:row>
    <x:row r="16">
      <x:c r="A16" s="29" t="str">
        <x:v>Implementation Tracker</x:v>
      </x:c>
      <x:c r="B16" s="29" t="str">
        <x:v>Detailed end-to-end activities, why they are required, implementation evidence, owner, status, and next action.</x:v>
      </x:c>
      <x:c r="C16" s="29" t="str"/>
      <x:c r="D16" s="29" t="str"/>
      <x:c r="E16" s="29" t="str"/>
      <x:c r="F16" s="29" t="str"/>
      <x:c r="G16" s="29" t="str"/>
      <x:c r="H16" s="29" t="str"/>
    </x:row>
    <x:row r="17">
      <x:c r="A17" s="29" t="str">
        <x:v>Regulatory Traceability</x:v>
      </x:c>
      <x:c r="B17" s="29" t="str">
        <x:v>Maps EU AI Act, GDPR, DPDP, and ISO/IEC 42001 themes to practical controls, code, tests, and evidence.</x:v>
      </x:c>
      <x:c r="C17" s="29" t="str"/>
      <x:c r="D17" s="29" t="str"/>
      <x:c r="E17" s="29" t="str"/>
      <x:c r="F17" s="29" t="str"/>
      <x:c r="G17" s="29" t="str"/>
      <x:c r="H17" s="29" t="str"/>
    </x:row>
    <x:row r="18">
      <x:c r="A18" s="29" t="str">
        <x:v>Test Evidence</x:v>
      </x:c>
      <x:c r="B18" s="29" t="str">
        <x:v>Lists the 21 automated tests and what each control proves.</x:v>
      </x:c>
      <x:c r="C18" s="29" t="str"/>
      <x:c r="D18" s="29" t="str"/>
      <x:c r="E18" s="29" t="str"/>
      <x:c r="F18" s="29" t="str"/>
      <x:c r="G18" s="29" t="str"/>
      <x:c r="H18" s="29" t="str"/>
    </x:row>
    <x:row r="19">
      <x:c r="A19" s="29" t="str">
        <x:v>Dashboard</x:v>
      </x:c>
      <x:c r="B19" s="29" t="str">
        <x:v>Formula-driven status summary and visual progress by lifecycle stage and governance pillar.</x:v>
      </x:c>
      <x:c r="C19" s="29" t="str"/>
      <x:c r="D19" s="29" t="str"/>
      <x:c r="E19" s="29" t="str"/>
      <x:c r="F19" s="29" t="str"/>
      <x:c r="G19" s="29" t="str"/>
      <x:c r="H19" s="29" t="str"/>
    </x:row>
    <x:row r="20">
      <x:c r="A20" s="29"/>
      <x:c r="B20" s="29"/>
      <x:c r="C20" s="29"/>
      <x:c r="D20" s="29"/>
      <x:c r="E20" s="29"/>
      <x:c r="F20" s="29"/>
      <x:c r="G20" s="29"/>
      <x:c r="H20" s="29"/>
    </x:row>
    <x:row r="21">
      <x:c r="A21" s="44" t="str">
        <x:v>Public portfolio links</x:v>
      </x:c>
      <x:c r="B21" s="44"/>
      <x:c r="C21" s="44"/>
      <x:c r="D21" s="44"/>
      <x:c r="E21" s="44"/>
      <x:c r="F21" s="44"/>
      <x:c r="G21" s="44"/>
      <x:c r="H21" s="44"/>
    </x:row>
    <x:row r="22">
      <x:c r="A22" s="28" t="str">
        <x:v>GitHub repository</x:v>
      </x:c>
      <x:c r="B22" s="29" t="str">
        <x:v>https://github.com/seemaussharma-dev/hr-ai-governance-poc</x:v>
      </x:c>
      <x:c r="C22" s="29"/>
      <x:c r="D22" s="29"/>
      <x:c r="E22" s="29"/>
      <x:c r="F22" s="29"/>
      <x:c r="G22" s="29"/>
      <x:c r="H22" s="29"/>
    </x:row>
    <x:row r="23">
      <x:c r="A23" s="28" t="str">
        <x:v>Live Streamlit POC</x:v>
      </x:c>
      <x:c r="B23" s="29" t="str">
        <x:v>https://hr-ai-governance-poc-p84yctrawcj2tw95h56qnk.streamlit.app</x:v>
      </x:c>
      <x:c r="C23" s="29"/>
      <x:c r="D23" s="29"/>
      <x:c r="E23" s="29"/>
      <x:c r="F23" s="29"/>
      <x:c r="G23" s="29"/>
      <x:c r="H23" s="29"/>
    </x:row>
    <x:row r="24">
      <x:c r="A24" s="28" t="str">
        <x:v>Regulatory sources</x:v>
      </x:c>
      <x:c r="B24" s="29" t="str">
        <x:v>See the Official Source column in the Regulatory Traceability sheet.</x:v>
      </x:c>
      <x:c r="C24" s="29"/>
      <x:c r="D24" s="29"/>
      <x:c r="E24" s="29"/>
      <x:c r="F24" s="29"/>
      <x:c r="G24" s="29"/>
      <x:c r="H24" s="29"/>
    </x:row>
    <x:row r="25">
      <x:c r="A25" s="29"/>
      <x:c r="B25" s="29"/>
      <x:c r="C25" s="29"/>
      <x:c r="D25" s="29"/>
      <x:c r="E25" s="29"/>
      <x:c r="F25" s="29"/>
      <x:c r="G25" s="29"/>
      <x:c r="H25" s="29"/>
    </x:row>
    <x:row r="26">
      <x:c r="A26" s="29"/>
      <x:c r="B26" s="29"/>
      <x:c r="C26" s="29"/>
      <x:c r="D26" s="29"/>
      <x:c r="E26" s="29"/>
      <x:c r="F26" s="29"/>
      <x:c r="G26" s="29"/>
      <x:c r="H26" s="29"/>
    </x:row>
    <x:row r="27">
      <x:c r="A27" s="29"/>
      <x:c r="B27" s="29"/>
      <x:c r="C27" s="29"/>
      <x:c r="D27" s="29"/>
      <x:c r="E27" s="29"/>
      <x:c r="F27" s="29"/>
      <x:c r="G27" s="29"/>
      <x:c r="H27" s="29"/>
    </x:row>
    <x:row r="28">
      <x:c r="A28" s="29"/>
      <x:c r="B28" s="29"/>
      <x:c r="C28" s="29"/>
      <x:c r="D28" s="29"/>
      <x:c r="E28" s="29"/>
      <x:c r="F28" s="29"/>
      <x:c r="G28" s="29"/>
      <x:c r="H28" s="29"/>
    </x:row>
    <x:row r="29">
      <x:c r="A29" s="29"/>
      <x:c r="B29" s="29"/>
      <x:c r="C29" s="29"/>
      <x:c r="D29" s="29"/>
      <x:c r="E29" s="29"/>
      <x:c r="F29" s="29"/>
      <x:c r="G29" s="29"/>
      <x:c r="H29" s="29"/>
    </x:row>
    <x:row r="30">
      <x:c r="A30" s="29"/>
      <x:c r="B30" s="29"/>
      <x:c r="C30" s="29"/>
      <x:c r="D30" s="29"/>
      <x:c r="E30" s="29"/>
      <x:c r="F30" s="29"/>
      <x:c r="G30" s="29"/>
      <x:c r="H30" s="29"/>
    </x:row>
  </x:sheetData>
  <x:mergeCells>
    <x:mergeCell ref="A1:H2"/>
    <x:mergeCell ref="A3:H3"/>
    <x:mergeCell ref="A5:H5"/>
    <x:mergeCell ref="D5:H5"/>
    <x:mergeCell ref="A13:H13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5" hidden="0" customWidth="1"/>
    <x:col min="4" max="4" width="45" hidden="0" customWidth="1"/>
    <x:col min="5" max="5" width="38" hidden="0" customWidth="1"/>
    <x:col min="6" max="6" width="34" hidden="0" customWidth="1"/>
    <x:col min="7" max="7" width="32" hidden="0" customWidth="1"/>
    <x:col min="8" max="8" width="34" hidden="0" customWidth="1"/>
    <x:col min="9" max="9" width="14" hidden="0" customWidth="1"/>
  </x:cols>
  <x:sheetData>
    <x:row r="1">
      <x:c r="A1" s="5" t="str">
        <x:v>4D × 4S Practical Implementation Matrix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</x:row>
    <x:row r="3">
      <x:c r="A3" s="48" t="str">
        <x:v>Each row shows what was done, why it matters, the evidence created, and the outcome.</x:v>
      </x:c>
      <x:c r="B3" s="48"/>
      <x:c r="C3" s="48"/>
      <x:c r="D3" s="48"/>
      <x:c r="E3" s="48"/>
      <x:c r="F3" s="48"/>
      <x:c r="G3" s="48"/>
      <x:c r="H3" s="48"/>
      <x:c r="I3" s="48"/>
    </x:row>
    <x:row r="5">
      <x:c r="A5" s="38" t="str">
        <x:v>4D Stage</x:v>
      </x:c>
      <x:c r="B5" s="38" t="str">
        <x:v>4S Pillar</x:v>
      </x:c>
      <x:c r="C5" s="38" t="str">
        <x:v>Key Question</x:v>
      </x:c>
      <x:c r="D5" s="38" t="str">
        <x:v>Practical POC Implementation</x:v>
      </x:c>
      <x:c r="E5" s="38" t="str">
        <x:v>Why Required</x:v>
      </x:c>
      <x:c r="F5" s="38" t="str">
        <x:v>Evidence / Artifact</x:v>
      </x:c>
      <x:c r="G5" s="38" t="str">
        <x:v>Regulatory Alignment</x:v>
      </x:c>
      <x:c r="H5" s="38" t="str">
        <x:v>Business / Governance Outcome</x:v>
      </x:c>
      <x:c r="I5" s="38" t="str">
        <x:v>Status</x:v>
      </x:c>
    </x:row>
    <x:row r="6">
      <x:c r="A6" s="33" t="str">
        <x:v>Discover</x:v>
      </x:c>
      <x:c r="B6" s="33" t="str">
        <x:v>Strategy</x:v>
      </x:c>
      <x:c r="C6" s="33" t="str">
        <x:v>Why should this POC exist?</x:v>
      </x:c>
      <x:c r="D6" s="33" t="str">
        <x:v>Documented repetitive HR policy questions, inconsistent response risk, and the need to reduce routine HR effort without exposing employee information.</x:v>
      </x:c>
      <x:c r="E6" s="33" t="str">
        <x:v>Governance must start with a real business need rather than selecting a model first.</x:v>
      </x:c>
      <x:c r="F6" s="33" t="str">
        <x:v>00_business_problem.md; 01_project_charter.md</x:v>
      </x:c>
      <x:c r="G6" s="33" t="str">
        <x:v>ISO/IEC 42001 context and objectives; GDPR purpose limitation</x:v>
      </x:c>
      <x:c r="H6" s="33" t="str">
        <x:v>Clear business case and controlled MVP objective.</x:v>
      </x:c>
      <x:c r="I6" s="33" t="str">
        <x:v>Complete</x:v>
      </x:c>
    </x:row>
    <x:row r="7">
      <x:c r="A7" s="33" t="str">
        <x:v>Discover</x:v>
      </x:c>
      <x:c r="B7" s="33" t="str">
        <x:v>Scope</x:v>
      </x:c>
      <x:c r="C7" s="33" t="str">
        <x:v>Who and what are in scope?</x:v>
      </x:c>
      <x:c r="D7" s="33" t="str">
        <x:v>Identified employees and managers as users; limited knowledge to leave, remote-work, and expense policies; excluded real employee records and decisions.</x:v>
      </x:c>
      <x:c r="E7" s="33" t="str">
        <x:v>A narrow scope reduces harm, testing complexity, and uncontrolled expansion.</x:v>
      </x:c>
      <x:c r="F7" s="33" t="str">
        <x:v>02_use_case_and_scope.md; synthetic policies</x:v>
      </x:c>
      <x:c r="G7" s="33" t="str">
        <x:v>EU AI Act risk-based classification; GDPR/DPDP purpose limitation</x:v>
      </x:c>
      <x:c r="H7" s="33" t="str">
        <x:v>Informational policy assistant, not an employment decision system.</x:v>
      </x:c>
      <x:c r="I7" s="33" t="str">
        <x:v>Complete</x:v>
      </x:c>
    </x:row>
    <x:row r="8">
      <x:c r="A8" s="33" t="str">
        <x:v>Discover</x:v>
      </x:c>
      <x:c r="B8" s="33" t="str">
        <x:v>Safeguards</x:v>
      </x:c>
      <x:c r="C8" s="33" t="str">
        <x:v>What could go wrong?</x:v>
      </x:c>
      <x:c r="D8" s="33" t="str">
        <x:v>Identified privacy leakage, salary/medical disclosure, prompt injection, wrong-source retrieval, obsolete policies, profiling, and automated employment decisions.</x:v>
      </x:c>
      <x:c r="E8" s="33" t="str">
        <x:v>Risks must be known before architecture and controls are selected.</x:v>
      </x:c>
      <x:c r="F8" s="33" t="str">
        <x:v>09_ai_impact_assessment.md; 10_privacy_impact_assessment.md; 12_risk_register.md</x:v>
      </x:c>
      <x:c r="G8" s="33" t="str">
        <x:v>EU AI Act risk management; GDPR privacy by design; DPDP safeguards</x:v>
      </x:c>
      <x:c r="H8" s="33" t="str">
        <x:v>Risk register drives specific technical and organizational controls.</x:v>
      </x:c>
      <x:c r="I8" s="33" t="str">
        <x:v>Complete</x:v>
      </x:c>
    </x:row>
    <x:row r="9">
      <x:c r="A9" s="33" t="str">
        <x:v>Discover</x:v>
      </x:c>
      <x:c r="B9" s="33" t="str">
        <x:v>Success</x:v>
      </x:c>
      <x:c r="C9" s="33" t="str">
        <x:v>How will value and safety be measured?</x:v>
      </x:c>
      <x:c r="D9" s="33" t="str">
        <x:v>Defined success as correct answers from approved sources, citations, 100% blocking of defined prohibited tests, human escalation, no raw-question logging, and all tests passing.</x:v>
      </x:c>
      <x:c r="E9" s="33" t="str">
        <x:v>Without measurable success criteria, governance remains subjective.</x:v>
      </x:c>
      <x:c r="F9" s="33" t="str">
        <x:v>04_requirements.md; 14_test_strategy.md; 19_monitoring_plan.md</x:v>
      </x:c>
      <x:c r="G9" s="33" t="str">
        <x:v>ISO/IEC 42001 performance evaluation and monitoring</x:v>
      </x:c>
      <x:c r="H9" s="33" t="str">
        <x:v>Measurable release gates and evidence-based approval.</x:v>
      </x:c>
      <x:c r="I9" s="33" t="str">
        <x:v>Complete</x:v>
      </x:c>
    </x:row>
    <x:row r="10">
      <x:c r="A10" s="33" t="str">
        <x:v>Define</x:v>
      </x:c>
      <x:c r="B10" s="33" t="str">
        <x:v>Strategy</x:v>
      </x:c>
      <x:c r="C10" s="33" t="str">
        <x:v>Who owns the system and decisions?</x:v>
      </x:c>
      <x:c r="D10" s="33" t="str">
        <x:v>Created a project charter, stakeholder map, RACI, business owner, technical owner, HR oversight, privacy/security review responsibilities, and Stage 2 approval gates.</x:v>
      </x:c>
      <x:c r="E10" s="33" t="str">
        <x:v>Accountability must remain human and explicit.</x:v>
      </x:c>
      <x:c r="F10" s="33" t="str">
        <x:v>01_project_charter.md; 03_stakeholders_and_raci.md; 07_ai_governance_plan.md</x:v>
      </x:c>
      <x:c r="G10" s="33" t="str">
        <x:v>ISO/IEC 42001 leadership and accountability</x:v>
      </x:c>
      <x:c r="H10" s="33" t="str">
        <x:v>Clear ownership for policy, code, privacy, incidents, and change approval.</x:v>
      </x:c>
      <x:c r="I10" s="33" t="str">
        <x:v>Complete</x:v>
      </x:c>
    </x:row>
    <x:row r="11">
      <x:c r="A11" s="33" t="str">
        <x:v>Define</x:v>
      </x:c>
      <x:c r="B11" s="33" t="str">
        <x:v>Scope</x:v>
      </x:c>
      <x:c r="C11" s="33" t="str">
        <x:v>What is allowed, prohibited, and a trigger for reassessment?</x:v>
      </x:c>
      <x:c r="D11" s="33" t="str">
        <x:v>Documented intended use, prohibited use, no decision authority, human escalation, and triggers such as adding Claude, real personal data, HR integrations, personalization, or new jurisdictions.</x:v>
      </x:c>
      <x:c r="E11" s="33" t="str">
        <x:v>Scope-change triggers prevent silent movement into higher-risk use.</x:v>
      </x:c>
      <x:c r="F11" s="33" t="str">
        <x:v>02_use_case_and_scope.md; 21_system_card.md</x:v>
      </x:c>
      <x:c r="G11" s="33" t="str">
        <x:v>EU AI Act classification; GDPR DPIA reassessment; DPDP purpose changes</x:v>
      </x:c>
      <x:c r="H11" s="33" t="str">
        <x:v>Controlled boundaries and mandatory reassessment before material expansion.</x:v>
      </x:c>
      <x:c r="I11" s="33" t="str">
        <x:v>Complete</x:v>
      </x:c>
    </x:row>
    <x:row r="12">
      <x:c r="A12" s="33" t="str">
        <x:v>Define</x:v>
      </x:c>
      <x:c r="B12" s="33" t="str">
        <x:v>Safeguards</x:v>
      </x:c>
      <x:c r="C12" s="33" t="str">
        <x:v>Which requirements and controls are mandatory?</x:v>
      </x:c>
      <x:c r="D12" s="33" t="str">
        <x:v>Converted risk and regulatory themes into business, functional, privacy, security, governance, and nonfunctional requirements.</x:v>
      </x:c>
      <x:c r="E12" s="33" t="str">
        <x:v>Regulatory principles must become testable system behavior.</x:v>
      </x:c>
      <x:c r="F12" s="33" t="str">
        <x:v>04_requirements.md; 11_regulatory_control_matrix.md; 13_control_design.md</x:v>
      </x:c>
      <x:c r="G12" s="33" t="str">
        <x:v>EU AI Act transparency/oversight; GDPR principles; DPDP safeguards; ISO controls</x:v>
      </x:c>
      <x:c r="H12" s="33" t="str">
        <x:v>A requirements baseline linked to controls, code, and tests.</x:v>
      </x:c>
      <x:c r="I12" s="33" t="str">
        <x:v>Complete</x:v>
      </x:c>
    </x:row>
    <x:row r="13">
      <x:c r="A13" s="33" t="str">
        <x:v>Define</x:v>
      </x:c>
      <x:c r="B13" s="33" t="str">
        <x:v>Success</x:v>
      </x:c>
      <x:c r="C13" s="33" t="str">
        <x:v>What are the release acceptance criteria?</x:v>
      </x:c>
      <x:c r="D13" s="33" t="str">
        <x:v>Set release targets: prohibited decision and personal-data tests blocked, all answered test questions cited, zero raw questions in audit events, all automated tests passing.</x:v>
      </x:c>
      <x:c r="E13" s="33" t="str">
        <x:v>Release must depend on objective evidence, not confidence alone.</x:v>
      </x:c>
      <x:c r="F13" s="33" t="str">
        <x:v>04_requirements.md; 14_test_strategy.md; test_report.md</x:v>
      </x:c>
      <x:c r="G13" s="33" t="str">
        <x:v>ISO/IEC 42001 evaluation and improvement</x:v>
      </x:c>
      <x:c r="H13" s="33" t="str">
        <x:v>Clear pass/fail decision for publication and future changes.</x:v>
      </x:c>
      <x:c r="I13" s="33" t="str">
        <x:v>Complete</x:v>
      </x:c>
    </x:row>
    <x:row r="14">
      <x:c r="A14" s="33" t="str">
        <x:v>Design</x:v>
      </x:c>
      <x:c r="B14" s="33" t="str">
        <x:v>Strategy</x:v>
      </x:c>
      <x:c r="C14" s="33" t="str">
        <x:v>What architecture best supports a small-company MVP?</x:v>
      </x:c>
      <x:c r="D14" s="33" t="str">
        <x:v>Selected a free, inspectable deterministic architecture: Streamlit UI, Python guardrails, local approved-policy search, extractive response builder, minimized audit logger, and HR escalation.</x:v>
      </x:c>
      <x:c r="E14" s="33" t="str">
        <x:v>The architecture should match risk, budget, team capability, and learning goals.</x:v>
      </x:c>
      <x:c r="F14" s="33" t="str">
        <x:v>06_solution_architecture.md; app.py; component modules</x:v>
      </x:c>
      <x:c r="G14" s="33" t="str">
        <x:v>Privacy by design; least agency; ISO/IEC 42001 operational planning</x:v>
      </x:c>
      <x:c r="H14" s="33" t="str">
        <x:v>Low-cost architecture that proves controls before adding an LLM.</x:v>
      </x:c>
      <x:c r="I14" s="33" t="str">
        <x:v>Complete</x:v>
      </x:c>
    </x:row>
    <x:row r="15">
      <x:c r="A15" s="33" t="str">
        <x:v>Design</x:v>
      </x:c>
      <x:c r="B15" s="33" t="str">
        <x:v>Scope</x:v>
      </x:c>
      <x:c r="C15" s="33" t="str">
        <x:v>How is data constrained end to end?</x:v>
      </x:c>
      <x:c r="D15" s="33" t="str">
        <x:v>Used only three synthetic policies, no authentication or HR-system integration, no external processor, in-memory question processing, and no raw question/answer retention.</x:v>
      </x:c>
      <x:c r="E15" s="33" t="str">
        <x:v>Data-flow boundaries reduce privacy and supplier risk.</x:v>
      </x:c>
      <x:c r="F15" s="33" t="str">
        <x:v>05_data_inventory_and_flow.md; policies/; audit.py</x:v>
      </x:c>
      <x:c r="G15" s="33" t="str">
        <x:v>GDPR/DPDP data minimization and storage limitation</x:v>
      </x:c>
      <x:c r="H15" s="33" t="str">
        <x:v>Public-safe data design with no real employee information.</x:v>
      </x:c>
      <x:c r="I15" s="33" t="str">
        <x:v>Complete</x:v>
      </x:c>
    </x:row>
    <x:row r="16">
      <x:c r="A16" s="33" t="str">
        <x:v>Design</x:v>
      </x:c>
      <x:c r="B16" s="33" t="str">
        <x:v>Safeguards</x:v>
      </x:c>
      <x:c r="C16" s="33" t="str">
        <x:v>How are risks controlled in layers?</x:v>
      </x:c>
      <x:c r="D16" s="33" t="str">
        <x:v>Implemented disclosure, privacy notice, input validation, PII detection, confidential-category blocks, employment-decision blocks, injection detection, approved-source validation, evidence threshold, extractive answers, citations, and human escalation.</x:v>
      </x:c>
      <x:c r="E16" s="33" t="str">
        <x:v>Layered preventive, detective, and corrective controls reduce single-point failure.</x:v>
      </x:c>
      <x:c r="F16" s="33" t="str">
        <x:v>guardrails.py; policy_search.py; response_builder.py; audit.py; 13_control_design.md</x:v>
      </x:c>
      <x:c r="G16" s="33" t="str">
        <x:v>EU AI Act transparency, oversight, accuracy, robustness; GDPR/DPDP safeguards</x:v>
      </x:c>
      <x:c r="H16" s="33" t="str">
        <x:v>Unsafe requests are blocked before retrieval; weak evidence escalates safely.</x:v>
      </x:c>
      <x:c r="I16" s="33" t="str">
        <x:v>Complete</x:v>
      </x:c>
    </x:row>
    <x:row r="17">
      <x:c r="A17" s="33" t="str">
        <x:v>Design</x:v>
      </x:c>
      <x:c r="B17" s="33" t="str">
        <x:v>Success</x:v>
      </x:c>
      <x:c r="C17" s="33" t="str">
        <x:v>How are controls traced and monitored?</x:v>
      </x:c>
      <x:c r="D17" s="33" t="str">
        <x:v>Mapped requirement → control → code → test → evidence; defined answer, block, escalation, wrong-source, test, incident, policy-age, and review metrics.</x:v>
      </x:c>
      <x:c r="E17" s="33" t="str">
        <x:v>Traceability proves implementation and supports audit and corrective action.</x:v>
      </x:c>
      <x:c r="F17" s="33" t="str">
        <x:v>16_requirements_traceability.md; 19_monitoring_plan.md</x:v>
      </x:c>
      <x:c r="G17" s="33" t="str">
        <x:v>ISO/IEC 42001 performance evaluation and continual improvement</x:v>
      </x:c>
      <x:c r="H17" s="33" t="str">
        <x:v>Auditable control chain and operational review plan.</x:v>
      </x:c>
      <x:c r="I17" s="33" t="str">
        <x:v>Complete</x:v>
      </x:c>
    </x:row>
    <x:row r="18">
      <x:c r="A18" s="33" t="str">
        <x:v>Deliver</x:v>
      </x:c>
      <x:c r="B18" s="33" t="str">
        <x:v>Strategy</x:v>
      </x:c>
      <x:c r="C18" s="33" t="str">
        <x:v>How is the POC made usable and credible?</x:v>
      </x:c>
      <x:c r="D18" s="33" t="str">
        <x:v>Published a GitHub portfolio repository and deployed a public Streamlit demonstration while clearly stating Stage 1 has no external AI model and uses synthetic data.</x:v>
      </x:c>
      <x:c r="E18" s="33" t="str">
        <x:v>A working demonstration shows practical implementation beyond policy documents.</x:v>
      </x:c>
      <x:c r="F18" s="33" t="str">
        <x:v>README.md; START_HERE.md; public GitHub; Streamlit app</x:v>
      </x:c>
      <x:c r="G18" s="33" t="str">
        <x:v>AI literacy and transparent communication</x:v>
      </x:c>
      <x:c r="H18" s="33" t="str">
        <x:v>Interview-ready, publicly reviewable governance portfolio.</x:v>
      </x:c>
      <x:c r="I18" s="33" t="str">
        <x:v>Complete</x:v>
      </x:c>
    </x:row>
    <x:row r="19">
      <x:c r="A19" s="33" t="str">
        <x:v>Deliver</x:v>
      </x:c>
      <x:c r="B19" s="33" t="str">
        <x:v>Scope</x:v>
      </x:c>
      <x:c r="C19" s="33" t="str">
        <x:v>How is public release kept safe?</x:v>
      </x:c>
      <x:c r="D19" s="33" t="str">
        <x:v>Renamed the fictional company, completed the MIT license, scanned for secrets, excluded .env and virtual environments, used synthetic data, and documented limitations.</x:v>
      </x:c>
      <x:c r="E19" s="33" t="str">
        <x:v>Public repositories expose current files and history; publication requires explicit release controls.</x:v>
      </x:c>
      <x:c r="F19" s="33" t="str">
        <x:v>LICENSE; .gitignore; publication checklist; secret-scan evidence</x:v>
      </x:c>
      <x:c r="G19" s="33" t="str">
        <x:v>Security safeguards; privacy by design; supplier/data controls</x:v>
      </x:c>
      <x:c r="H19" s="33" t="str">
        <x:v>No known confidential data or tracked credentials in the public POC.</x:v>
      </x:c>
      <x:c r="I19" s="33" t="str">
        <x:v>Complete</x:v>
      </x:c>
    </x:row>
    <x:row r="20">
      <x:c r="A20" s="33" t="str">
        <x:v>Deliver</x:v>
      </x:c>
      <x:c r="B20" s="33" t="str">
        <x:v>Safeguards</x:v>
      </x:c>
      <x:c r="C20" s="33" t="str">
        <x:v>How was the system tested and corrected?</x:v>
      </x:c>
      <x:c r="D20" s="33" t="str">
        <x:v>Ran 21 automated tests, GitHub Actions syntax/unit/smoke tests, pip-audit, manual allow/block/escalate tests, root-cause analysis for a wrong-source defect, corrective code change, and a permanent regression test.</x:v>
      </x:c>
      <x:c r="E20" s="33" t="str">
        <x:v>Controls must be verified, defects corrected, and recurrence prevented.</x:v>
      </x:c>
      <x:c r="F20" s="33" t="str">
        <x:v>tests/; .github/workflows/tests.yml; governance/test_report.md; dependency scan evidence</x:v>
      </x:c>
      <x:c r="G20" s="33" t="str">
        <x:v>EU AI Act accuracy/robustness; ISO/IEC 42001 corrective action</x:v>
      </x:c>
      <x:c r="H20" s="33" t="str">
        <x:v>All defined tests pass; unsupported parental-leave question now escalates.</x:v>
      </x:c>
      <x:c r="I20" s="33" t="str">
        <x:v>Complete</x:v>
      </x:c>
    </x:row>
    <x:row r="21">
      <x:c r="A21" s="33" t="str">
        <x:v>Deliver</x:v>
      </x:c>
      <x:c r="B21" s="33" t="str">
        <x:v>Success</x:v>
      </x:c>
      <x:c r="C21" s="33" t="str">
        <x:v>What outcome is demonstrated and what comes next?</x:v>
      </x:c>
      <x:c r="D21" s="33" t="str">
        <x:v>Demonstrated working policy retrieval, privacy and decision guardrails, traceability, human escalation, public deployment, tested CI, and a controlled Stage 2 roadmap for Claude.</x:v>
      </x:c>
      <x:c r="E21" s="33" t="str">
        <x:v>The MVP must close with evidence, limitations, lessons, and gated next steps.</x:v>
      </x:c>
      <x:c r="F21" s="33" t="str">
        <x:v>24_demo_script.md; 25_interview_story.md; 26_stage2_claude_roadmap.md; 27_project_closeout.md</x:v>
      </x:c>
      <x:c r="G21" s="33" t="str">
        <x:v>ISO/IEC 42001 review and continual improvement</x:v>
      </x:c>
      <x:c r="H21" s="33" t="str">
        <x:v>Stage 1 complete; Stage 2 model integration is planned and gated.</x:v>
      </x:c>
      <x:c r="I21" s="33" t="str">
        <x:v>Complete</x:v>
      </x:c>
    </x:row>
  </x:sheetData>
  <x:mergeCells>
    <x:mergeCell ref="A1:I2"/>
    <x:mergeCell ref="A3:I3"/>
  </x:mergeCells>
  <x:conditionalFormatting sqref="I6:I21">
    <x:cfRule type="expression" dxfId="0" priority="1">
      <x:formula>I6="Complete"</x:formula>
    </x:cfRule>
    <x:cfRule type="expression" dxfId="1" priority="2">
      <x:formula>I6="In Progress"</x:formula>
    </x:cfRule>
    <x:cfRule type="expression" dxfId="2" priority="3">
      <x:formula>I6="Planned"</x:formula>
    </x:cfRule>
  </x:conditionalFormatting>
  <x:dataValidations count="1">
    <x:dataValidation type="list" sqref="I6:I21">
      <x:formula1>"Complete,In Progress,Planned,Ongoing"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e4f55e689c4d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28" hidden="0" customWidth="1"/>
    <x:col min="5" max="5" width="36" hidden="0" customWidth="1"/>
    <x:col min="6" max="6" width="48" hidden="0" customWidth="1"/>
    <x:col min="7" max="7" width="38" hidden="0" customWidth="1"/>
    <x:col min="8" max="8" width="30" hidden="0" customWidth="1"/>
    <x:col min="9" max="9" width="18" hidden="0" customWidth="1"/>
    <x:col min="10" max="10" width="10" hidden="0" customWidth="1"/>
    <x:col min="11" max="11" width="12" hidden="0" customWidth="1"/>
    <x:col min="12" max="12" width="34" hidden="0" customWidth="1"/>
    <x:col min="13" max="13" width="12" hidden="0" customWidth="1"/>
  </x:cols>
  <x:sheetData>
    <x:row r="1">
      <x:c r="A1" s="5" t="str">
        <x:v>End-to-End 4D × 4S Implementation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48" t="str">
        <x:v>Use this sheet to explain what was done, why it was required, where it is implemented, and what evidence proves completion.</x:v>
      </x:c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</x:row>
    <x:row r="5">
      <x:c r="A5" s="38" t="str">
        <x:v>ID</x:v>
      </x:c>
      <x:c r="B5" s="38" t="str">
        <x:v>4D Stage</x:v>
      </x:c>
      <x:c r="C5" s="38" t="str">
        <x:v>4S Pillar</x:v>
      </x:c>
      <x:c r="D5" s="38" t="str">
        <x:v>Activity</x:v>
      </x:c>
      <x:c r="E5" s="38" t="str">
        <x:v>Why Required</x:v>
      </x:c>
      <x:c r="F5" s="38" t="str">
        <x:v>Practical Implementation</x:v>
      </x:c>
      <x:c r="G5" s="38" t="str">
        <x:v>Code / Document</x:v>
      </x:c>
      <x:c r="H5" s="38" t="str">
        <x:v>Regulatory Link</x:v>
      </x:c>
      <x:c r="I5" s="38" t="str">
        <x:v>Owner</x:v>
      </x:c>
      <x:c r="J5" s="38" t="str">
        <x:v>Priority</x:v>
      </x:c>
      <x:c r="K5" s="38" t="str">
        <x:v>Status</x:v>
      </x:c>
      <x:c r="L5" s="38" t="str">
        <x:v>Evidence / Result</x:v>
      </x:c>
      <x:c r="M5" s="38" t="str">
        <x:v>Progress %</x:v>
      </x:c>
    </x:row>
    <x:row r="6">
      <x:c r="A6" s="33" t="str">
        <x:v>IMP-001</x:v>
      </x:c>
      <x:c r="B6" s="33" t="str">
        <x:v>Discover</x:v>
      </x:c>
      <x:c r="C6" s="33" t="str">
        <x:v>Strategy</x:v>
      </x:c>
      <x:c r="D6" s="33" t="str">
        <x:v>Document business problem</x:v>
      </x:c>
      <x:c r="E6" s="33" t="str">
        <x:v>Connect the POC to a measurable HR need.</x:v>
      </x:c>
      <x:c r="F6" s="33" t="str">
        <x:v>Recorded repetitive policy questions, inconsistent-answer risk, and HR workload.</x:v>
      </x:c>
      <x:c r="G6" s="33" t="str">
        <x:v>governance/00_business_problem.md</x:v>
      </x:c>
      <x:c r="H6" s="33" t="str">
        <x:v>ISO 42001 context; GDPR purpose limitation</x:v>
      </x:c>
      <x:c r="I6" s="33" t="str">
        <x:v>POC Owner</x:v>
      </x:c>
      <x:c r="J6" s="33" t="str">
        <x:v>High</x:v>
      </x:c>
      <x:c r="K6" s="33" t="str">
        <x:v>Complete</x:v>
      </x:c>
      <x:c r="L6" s="33" t="str">
        <x:v>Business problem approved</x:v>
      </x:c>
      <x:c r="M6" s="55" t="n">
        <x:f>IF(K6="Complete",1,IF(K6="Ongoing",0.75,IF(K6="In Progress",0.5,IF(K6="Planned",0,0))))</x:f>
        <x:v>1</x:v>
      </x:c>
    </x:row>
    <x:row r="7">
      <x:c r="A7" s="33" t="str">
        <x:v>IMP-002</x:v>
      </x:c>
      <x:c r="B7" s="33" t="str">
        <x:v>Discover</x:v>
      </x:c>
      <x:c r="C7" s="33" t="str">
        <x:v>Strategy</x:v>
      </x:c>
      <x:c r="D7" s="33" t="str">
        <x:v>Define business objective</x:v>
      </x:c>
      <x:c r="E7" s="33" t="str">
        <x:v>Prevent model-first development.</x:v>
      </x:c>
      <x:c r="F7" s="33" t="str">
        <x:v>Set objective: fast, consistent policy information with sensitive matters retained by HR.</x:v>
      </x:c>
      <x:c r="G7" s="33" t="str">
        <x:v>governance/00_business_problem.md; 01_project_charter.md</x:v>
      </x:c>
      <x:c r="H7" s="33" t="str">
        <x:v>ISO 42001 objectives</x:v>
      </x:c>
      <x:c r="I7" s="33" t="str">
        <x:v>Business Owner</x:v>
      </x:c>
      <x:c r="J7" s="33" t="str">
        <x:v>High</x:v>
      </x:c>
      <x:c r="K7" s="33" t="str">
        <x:v>Complete</x:v>
      </x:c>
      <x:c r="L7" s="33" t="str">
        <x:v>MVP success statement documented</x:v>
      </x:c>
      <x:c r="M7" s="55" t="n">
        <x:f>IF(K7="Complete",1,IF(K7="Ongoing",0.75,IF(K7="In Progress",0.5,IF(K7="Planned",0,0))))</x:f>
        <x:v>1</x:v>
      </x:c>
    </x:row>
    <x:row r="8">
      <x:c r="A8" s="33" t="str">
        <x:v>IMP-003</x:v>
      </x:c>
      <x:c r="B8" s="33" t="str">
        <x:v>Discover</x:v>
      </x:c>
      <x:c r="C8" s="33" t="str">
        <x:v>Scope</x:v>
      </x:c>
      <x:c r="D8" s="33" t="str">
        <x:v>Identify intended users</x:v>
      </x:c>
      <x:c r="E8" s="33" t="str">
        <x:v>Clarify who may rely on the output.</x:v>
      </x:c>
      <x:c r="F8" s="33" t="str">
        <x:v>Employees and managers seeking general policy information.</x:v>
      </x:c>
      <x:c r="G8" s="33" t="str">
        <x:v>governance/02_use_case_and_scope.md</x:v>
      </x:c>
      <x:c r="H8" s="33" t="str">
        <x:v>Transparency; purpose limitation</x:v>
      </x:c>
      <x:c r="I8" s="33" t="str">
        <x:v>HR Owner</x:v>
      </x:c>
      <x:c r="J8" s="33" t="str">
        <x:v>Medium</x:v>
      </x:c>
      <x:c r="K8" s="33" t="str">
        <x:v>Complete</x:v>
      </x:c>
      <x:c r="L8" s="33" t="str">
        <x:v>User group documented</x:v>
      </x:c>
      <x:c r="M8" s="55" t="n">
        <x:f>IF(K8="Complete",1,IF(K8="Ongoing",0.75,IF(K8="In Progress",0.5,IF(K8="Planned",0,0))))</x:f>
        <x:v>1</x:v>
      </x:c>
    </x:row>
    <x:row r="9">
      <x:c r="A9" s="33" t="str">
        <x:v>IMP-004</x:v>
      </x:c>
      <x:c r="B9" s="33" t="str">
        <x:v>Discover</x:v>
      </x:c>
      <x:c r="C9" s="33" t="str">
        <x:v>Scope</x:v>
      </x:c>
      <x:c r="D9" s="33" t="str">
        <x:v>Select policy domains</x:v>
      </x:c>
      <x:c r="E9" s="33" t="str">
        <x:v>Keep the MVP small and testable.</x:v>
      </x:c>
      <x:c r="F9" s="33" t="str">
        <x:v>Limited knowledge to leave, remote work, and expense reimbursement.</x:v>
      </x:c>
      <x:c r="G9" s="33" t="str">
        <x:v>policies/; governance/02_use_case_and_scope.md</x:v>
      </x:c>
      <x:c r="H9" s="33" t="str">
        <x:v>Data minimization; risk classification</x:v>
      </x:c>
      <x:c r="I9" s="33" t="str">
        <x:v>POC Owner</x:v>
      </x:c>
      <x:c r="J9" s="33" t="str">
        <x:v>High</x:v>
      </x:c>
      <x:c r="K9" s="33" t="str">
        <x:v>Complete</x:v>
      </x:c>
      <x:c r="L9" s="33" t="str">
        <x:v>Three approved synthetic policy domains</x:v>
      </x:c>
      <x:c r="M9" s="55" t="n">
        <x:f>IF(K9="Complete",1,IF(K9="Ongoing",0.75,IF(K9="In Progress",0.5,IF(K9="Planned",0,0))))</x:f>
        <x:v>1</x:v>
      </x:c>
    </x:row>
    <x:row r="10">
      <x:c r="A10" s="33" t="str">
        <x:v>IMP-005</x:v>
      </x:c>
      <x:c r="B10" s="33" t="str">
        <x:v>Discover</x:v>
      </x:c>
      <x:c r="C10" s="33" t="str">
        <x:v>Safeguards</x:v>
      </x:c>
      <x:c r="D10" s="33" t="str">
        <x:v>Identify harm scenarios</x:v>
      </x:c>
      <x:c r="E10" s="33" t="str">
        <x:v>Controls must respond to realistic risks.</x:v>
      </x:c>
      <x:c r="F10" s="33" t="str">
        <x:v>Identified privacy leakage, confidential HR disclosure, prompt injection, wrong-source retrieval, obsolete policy, profiling, and decisions.</x:v>
      </x:c>
      <x:c r="G10" s="33" t="str">
        <x:v>governance/09_ai_impact_assessment.md; 12_risk_register.md</x:v>
      </x:c>
      <x:c r="H10" s="33" t="str">
        <x:v>EU AI Act risk management; GDPR privacy by design</x:v>
      </x:c>
      <x:c r="I10" s="33" t="str">
        <x:v>Governance Owner</x:v>
      </x:c>
      <x:c r="J10" s="33" t="str">
        <x:v>High</x:v>
      </x:c>
      <x:c r="K10" s="33" t="str">
        <x:v>Complete</x:v>
      </x:c>
      <x:c r="L10" s="33" t="str">
        <x:v>Risk scenarios documented</x:v>
      </x:c>
      <x:c r="M10" s="55" t="n">
        <x:f>IF(K10="Complete",1,IF(K10="Ongoing",0.75,IF(K10="In Progress",0.5,IF(K10="Planned",0,0))))</x:f>
        <x:v>1</x:v>
      </x:c>
    </x:row>
    <x:row r="11">
      <x:c r="A11" s="33" t="str">
        <x:v>IMP-006</x:v>
      </x:c>
      <x:c r="B11" s="33" t="str">
        <x:v>Discover</x:v>
      </x:c>
      <x:c r="C11" s="33" t="str">
        <x:v>Safeguards</x:v>
      </x:c>
      <x:c r="D11" s="33" t="str">
        <x:v>Complete privacy assessment</x:v>
      </x:c>
      <x:c r="E11" s="33" t="str">
        <x:v>Understand personal-data entry, storage, and disclosure risks.</x:v>
      </x:c>
      <x:c r="F11" s="33" t="str">
        <x:v>Documented no intentional personal-data processing, in-memory handling, no raw question storage, and Stage 2 reassessment.</x:v>
      </x:c>
      <x:c r="G11" s="33" t="str">
        <x:v>governance/10_privacy_impact_assessment.md</x:v>
      </x:c>
      <x:c r="H11" s="33" t="str">
        <x:v>GDPR DPIA thinking; DPDP safeguards</x:v>
      </x:c>
      <x:c r="I11" s="33" t="str">
        <x:v>Privacy Reviewer</x:v>
      </x:c>
      <x:c r="J11" s="33" t="str">
        <x:v>High</x:v>
      </x:c>
      <x:c r="K11" s="33" t="str">
        <x:v>Complete</x:v>
      </x:c>
      <x:c r="L11" s="33" t="str">
        <x:v>PIA completed</x:v>
      </x:c>
      <x:c r="M11" s="55" t="n">
        <x:f>IF(K11="Complete",1,IF(K11="Ongoing",0.75,IF(K11="In Progress",0.5,IF(K11="Planned",0,0))))</x:f>
        <x:v>1</x:v>
      </x:c>
    </x:row>
    <x:row r="12">
      <x:c r="A12" s="33" t="str">
        <x:v>IMP-007</x:v>
      </x:c>
      <x:c r="B12" s="33" t="str">
        <x:v>Discover</x:v>
      </x:c>
      <x:c r="C12" s="33" t="str">
        <x:v>Success</x:v>
      </x:c>
      <x:c r="D12" s="33" t="str">
        <x:v>Define measurable MVP success</x:v>
      </x:c>
      <x:c r="E12" s="33" t="str">
        <x:v>Governance requires objective release evidence.</x:v>
      </x:c>
      <x:c r="F12" s="33" t="str">
        <x:v>Defined answer, block, escalation, citation, audit-minimization, and test-pass targets.</x:v>
      </x:c>
      <x:c r="G12" s="33" t="str">
        <x:v>governance/04_requirements.md; 14_test_strategy.md</x:v>
      </x:c>
      <x:c r="H12" s="33" t="str">
        <x:v>ISO 42001 performance evaluation</x:v>
      </x:c>
      <x:c r="I12" s="33" t="str">
        <x:v>POC Owner</x:v>
      </x:c>
      <x:c r="J12" s="33" t="str">
        <x:v>High</x:v>
      </x:c>
      <x:c r="K12" s="33" t="str">
        <x:v>Complete</x:v>
      </x:c>
      <x:c r="L12" s="33" t="str">
        <x:v>Acceptance criteria documented</x:v>
      </x:c>
      <x:c r="M12" s="55" t="n">
        <x:f>IF(K12="Complete",1,IF(K12="Ongoing",0.75,IF(K12="In Progress",0.5,IF(K12="Planned",0,0))))</x:f>
        <x:v>1</x:v>
      </x:c>
    </x:row>
    <x:row r="13">
      <x:c r="A13" s="33" t="str">
        <x:v>IMP-008</x:v>
      </x:c>
      <x:c r="B13" s="33" t="str">
        <x:v>Define</x:v>
      </x:c>
      <x:c r="C13" s="33" t="str">
        <x:v>Strategy</x:v>
      </x:c>
      <x:c r="D13" s="33" t="str">
        <x:v>Create project charter</x:v>
      </x:c>
      <x:c r="E13" s="33" t="str">
        <x:v>Establish purpose, authority, assumptions, and constraints.</x:v>
      </x:c>
      <x:c r="F13" s="33" t="str">
        <x:v>Created charter for a fictional small media company and Stage 1 POC.</x:v>
      </x:c>
      <x:c r="G13" s="33" t="str">
        <x:v>governance/01_project_charter.md</x:v>
      </x:c>
      <x:c r="H13" s="33" t="str">
        <x:v>ISO 42001 planning</x:v>
      </x:c>
      <x:c r="I13" s="33" t="str">
        <x:v>Business Owner</x:v>
      </x:c>
      <x:c r="J13" s="33" t="str">
        <x:v>Medium</x:v>
      </x:c>
      <x:c r="K13" s="33" t="str">
        <x:v>Complete</x:v>
      </x:c>
      <x:c r="L13" s="33" t="str">
        <x:v>Charter available</x:v>
      </x:c>
      <x:c r="M13" s="55" t="n">
        <x:f>IF(K13="Complete",1,IF(K13="Ongoing",0.75,IF(K13="In Progress",0.5,IF(K13="Planned",0,0))))</x:f>
        <x:v>1</x:v>
      </x:c>
    </x:row>
    <x:row r="14">
      <x:c r="A14" s="33" t="str">
        <x:v>IMP-009</x:v>
      </x:c>
      <x:c r="B14" s="33" t="str">
        <x:v>Define</x:v>
      </x:c>
      <x:c r="C14" s="33" t="str">
        <x:v>Strategy</x:v>
      </x:c>
      <x:c r="D14" s="33" t="str">
        <x:v>Assign RACI and owners</x:v>
      </x:c>
      <x:c r="E14" s="33" t="str">
        <x:v>AI accountability cannot be delegated to the system.</x:v>
      </x:c>
      <x:c r="F14" s="33" t="str">
        <x:v>Assigned business, HR, technical, privacy, security, and governance responsibilities.</x:v>
      </x:c>
      <x:c r="G14" s="33" t="str">
        <x:v>governance/03_stakeholders_and_raci.md</x:v>
      </x:c>
      <x:c r="H14" s="33" t="str">
        <x:v>ISO 42001 leadership/accountability</x:v>
      </x:c>
      <x:c r="I14" s="33" t="str">
        <x:v>Governance Owner</x:v>
      </x:c>
      <x:c r="J14" s="33" t="str">
        <x:v>High</x:v>
      </x:c>
      <x:c r="K14" s="33" t="str">
        <x:v>Complete</x:v>
      </x:c>
      <x:c r="L14" s="33" t="str">
        <x:v>RACI documented</x:v>
      </x:c>
      <x:c r="M14" s="55" t="n">
        <x:f>IF(K14="Complete",1,IF(K14="Ongoing",0.75,IF(K14="In Progress",0.5,IF(K14="Planned",0,0))))</x:f>
        <x:v>1</x:v>
      </x:c>
    </x:row>
    <x:row r="15">
      <x:c r="A15" s="33" t="str">
        <x:v>IMP-010</x:v>
      </x:c>
      <x:c r="B15" s="33" t="str">
        <x:v>Define</x:v>
      </x:c>
      <x:c r="C15" s="33" t="str">
        <x:v>Scope</x:v>
      </x:c>
      <x:c r="D15" s="33" t="str">
        <x:v>Document intended use</x:v>
      </x:c>
      <x:c r="E15" s="33" t="str">
        <x:v>Users need a clear statement of authorized behavior.</x:v>
      </x:c>
      <x:c r="F15" s="33" t="str">
        <x:v>General information from approved synthetic HR policies only.</x:v>
      </x:c>
      <x:c r="G15" s="33" t="str">
        <x:v>governance/02_use_case_and_scope.md; 21_system_card.md</x:v>
      </x:c>
      <x:c r="H15" s="33" t="str">
        <x:v>EU AI Act transparency; GDPR purpose limitation</x:v>
      </x:c>
      <x:c r="I15" s="33" t="str">
        <x:v>HR Owner</x:v>
      </x:c>
      <x:c r="J15" s="33" t="str">
        <x:v>High</x:v>
      </x:c>
      <x:c r="K15" s="33" t="str">
        <x:v>Complete</x:v>
      </x:c>
      <x:c r="L15" s="33" t="str">
        <x:v>Intended use published</x:v>
      </x:c>
      <x:c r="M15" s="55" t="n">
        <x:f>IF(K15="Complete",1,IF(K15="Ongoing",0.75,IF(K15="In Progress",0.5,IF(K15="Planned",0,0))))</x:f>
        <x:v>1</x:v>
      </x:c>
    </x:row>
    <x:row r="16">
      <x:c r="A16" s="33" t="str">
        <x:v>IMP-011</x:v>
      </x:c>
      <x:c r="B16" s="33" t="str">
        <x:v>Define</x:v>
      </x:c>
      <x:c r="C16" s="33" t="str">
        <x:v>Scope</x:v>
      </x:c>
      <x:c r="D16" s="33" t="str">
        <x:v>Document prohibited uses</x:v>
      </x:c>
      <x:c r="E16" s="33" t="str">
        <x:v>Prevent movement into sensitive or high-risk HR decisions.</x:v>
      </x:c>
      <x:c r="F16" s="33" t="str">
        <x:v>Prohibited personal records, salary/medical/performance data, ranking, hiring, promotion, discipline, termination, profiling, legal/medical advice.</x:v>
      </x:c>
      <x:c r="G16" s="33" t="str">
        <x:v>governance/02_use_case_and_scope.md</x:v>
      </x:c>
      <x:c r="H16" s="33" t="str">
        <x:v>EU AI Act employment-risk boundary; GDPR automated decisions</x:v>
      </x:c>
      <x:c r="I16" s="33" t="str">
        <x:v>Governance Owner</x:v>
      </x:c>
      <x:c r="J16" s="33" t="str">
        <x:v>High</x:v>
      </x:c>
      <x:c r="K16" s="33" t="str">
        <x:v>Complete</x:v>
      </x:c>
      <x:c r="L16" s="33" t="str">
        <x:v>Prohibited-use catalog</x:v>
      </x:c>
      <x:c r="M16" s="55" t="n">
        <x:f>IF(K16="Complete",1,IF(K16="Ongoing",0.75,IF(K16="In Progress",0.5,IF(K16="Planned",0,0))))</x:f>
        <x:v>1</x:v>
      </x:c>
    </x:row>
    <x:row r="17">
      <x:c r="A17" s="33" t="str">
        <x:v>IMP-012</x:v>
      </x:c>
      <x:c r="B17" s="33" t="str">
        <x:v>Define</x:v>
      </x:c>
      <x:c r="C17" s="33" t="str">
        <x:v>Scope</x:v>
      </x:c>
      <x:c r="D17" s="33" t="str">
        <x:v>Define human decision authority</x:v>
      </x:c>
      <x:c r="E17" s="33" t="str">
        <x:v>Keep policy interpretation and exceptions with HR.</x:v>
      </x:c>
      <x:c r="F17" s="33" t="str">
        <x:v>System is informational only; no leave, remote-work, expense, or employment approvals.</x:v>
      </x:c>
      <x:c r="G17" s="33" t="str">
        <x:v>governance/02_use_case_and_scope.md</x:v>
      </x:c>
      <x:c r="H17" s="33" t="str">
        <x:v>Human oversight</x:v>
      </x:c>
      <x:c r="I17" s="33" t="str">
        <x:v>HR Owner</x:v>
      </x:c>
      <x:c r="J17" s="33" t="str">
        <x:v>High</x:v>
      </x:c>
      <x:c r="K17" s="33" t="str">
        <x:v>Complete</x:v>
      </x:c>
      <x:c r="L17" s="33" t="str">
        <x:v>Decision authority documented</x:v>
      </x:c>
      <x:c r="M17" s="55" t="n">
        <x:f>IF(K17="Complete",1,IF(K17="Ongoing",0.75,IF(K17="In Progress",0.5,IF(K17="Planned",0,0))))</x:f>
        <x:v>1</x:v>
      </x:c>
    </x:row>
    <x:row r="18">
      <x:c r="A18" s="33" t="str">
        <x:v>IMP-013</x:v>
      </x:c>
      <x:c r="B18" s="33" t="str">
        <x:v>Define</x:v>
      </x:c>
      <x:c r="C18" s="33" t="str">
        <x:v>Scope</x:v>
      </x:c>
      <x:c r="D18" s="33" t="str">
        <x:v>Define reassessment triggers</x:v>
      </x:c>
      <x:c r="E18" s="33" t="str">
        <x:v>Material changes can alter legal and risk classification.</x:v>
      </x:c>
      <x:c r="F18" s="33" t="str">
        <x:v>Triggers include Claude, personal data, authentication, HR integration, personalization, decisions, cloud, and new jurisdictions.</x:v>
      </x:c>
      <x:c r="G18" s="33" t="str">
        <x:v>governance/02_use_case_and_scope.md; 26_stage2_claude_roadmap.md</x:v>
      </x:c>
      <x:c r="H18" s="33" t="str">
        <x:v>EU AI Act classification; GDPR DPIA reassessment</x:v>
      </x:c>
      <x:c r="I18" s="33" t="str">
        <x:v>Governance Owner</x:v>
      </x:c>
      <x:c r="J18" s="33" t="str">
        <x:v>High</x:v>
      </x:c>
      <x:c r="K18" s="33" t="str">
        <x:v>Complete</x:v>
      </x:c>
      <x:c r="L18" s="33" t="str">
        <x:v>Change triggers documented</x:v>
      </x:c>
      <x:c r="M18" s="55" t="n">
        <x:f>IF(K18="Complete",1,IF(K18="Ongoing",0.75,IF(K18="In Progress",0.5,IF(K18="Planned",0,0))))</x:f>
        <x:v>1</x:v>
      </x:c>
    </x:row>
    <x:row r="19">
      <x:c r="A19" s="33" t="str">
        <x:v>IMP-014</x:v>
      </x:c>
      <x:c r="B19" s="33" t="str">
        <x:v>Define</x:v>
      </x:c>
      <x:c r="C19" s="33" t="str">
        <x:v>Safeguards</x:v>
      </x:c>
      <x:c r="D19" s="33" t="str">
        <x:v>Write requirements catalog</x:v>
      </x:c>
      <x:c r="E19" s="33" t="str">
        <x:v>Turn risk into system behavior.</x:v>
      </x:c>
      <x:c r="F19" s="33" t="str">
        <x:v>Created business, functional, privacy, security, governance, and nonfunctional requirements.</x:v>
      </x:c>
      <x:c r="G19" s="33" t="str">
        <x:v>governance/04_requirements.md</x:v>
      </x:c>
      <x:c r="H19" s="33" t="str">
        <x:v>All frameworks</x:v>
      </x:c>
      <x:c r="I19" s="33" t="str">
        <x:v>Technical Owner</x:v>
      </x:c>
      <x:c r="J19" s="33" t="str">
        <x:v>High</x:v>
      </x:c>
      <x:c r="K19" s="33" t="str">
        <x:v>Complete</x:v>
      </x:c>
      <x:c r="L19" s="33" t="str">
        <x:v>Requirements baseline</x:v>
      </x:c>
      <x:c r="M19" s="55" t="n">
        <x:f>IF(K19="Complete",1,IF(K19="Ongoing",0.75,IF(K19="In Progress",0.5,IF(K19="Planned",0,0))))</x:f>
        <x:v>1</x:v>
      </x:c>
    </x:row>
    <x:row r="20">
      <x:c r="A20" s="33" t="str">
        <x:v>IMP-015</x:v>
      </x:c>
      <x:c r="B20" s="33" t="str">
        <x:v>Define</x:v>
      </x:c>
      <x:c r="C20" s="33" t="str">
        <x:v>Safeguards</x:v>
      </x:c>
      <x:c r="D20" s="33" t="str">
        <x:v>Create data inventory and flow</x:v>
      </x:c>
      <x:c r="E20" s="33" t="str">
        <x:v>Understand each data item, purpose, storage, and recipient.</x:v>
      </x:c>
      <x:c r="F20" s="33" t="str">
        <x:v>Mapped user question, policy documents, response, source metadata, and minimized audit event.</x:v>
      </x:c>
      <x:c r="G20" s="33" t="str">
        <x:v>governance/05_data_inventory_and_flow.md</x:v>
      </x:c>
      <x:c r="H20" s="33" t="str">
        <x:v>GDPR/DPDP data governance</x:v>
      </x:c>
      <x:c r="I20" s="33" t="str">
        <x:v>Privacy Reviewer</x:v>
      </x:c>
      <x:c r="J20" s="33" t="str">
        <x:v>High</x:v>
      </x:c>
      <x:c r="K20" s="33" t="str">
        <x:v>Complete</x:v>
      </x:c>
      <x:c r="L20" s="33" t="str">
        <x:v>Data-flow record</x:v>
      </x:c>
      <x:c r="M20" s="55" t="n">
        <x:f>IF(K20="Complete",1,IF(K20="Ongoing",0.75,IF(K20="In Progress",0.5,IF(K20="Planned",0,0))))</x:f>
        <x:v>1</x:v>
      </x:c>
    </x:row>
    <x:row r="21">
      <x:c r="A21" s="33" t="str">
        <x:v>IMP-016</x:v>
      </x:c>
      <x:c r="B21" s="33" t="str">
        <x:v>Define</x:v>
      </x:c>
      <x:c r="C21" s="33" t="str">
        <x:v>Safeguards</x:v>
      </x:c>
      <x:c r="D21" s="33" t="str">
        <x:v>Create AI/system inventory</x:v>
      </x:c>
      <x:c r="E21" s="33" t="str">
        <x:v>Maintain visibility and ownership of automated systems.</x:v>
      </x:c>
      <x:c r="F21" s="33" t="str">
        <x:v>Recorded name, version, owner, purpose, data, model status, risk, controls, and review date.</x:v>
      </x:c>
      <x:c r="G21" s="33" t="str">
        <x:v>governance/08_ai_system_inventory.md</x:v>
      </x:c>
      <x:c r="H21" s="33" t="str">
        <x:v>ISO 42001 lifecycle inventory</x:v>
      </x:c>
      <x:c r="I21" s="33" t="str">
        <x:v>Governance Owner</x:v>
      </x:c>
      <x:c r="J21" s="33" t="str">
        <x:v>Medium</x:v>
      </x:c>
      <x:c r="K21" s="33" t="str">
        <x:v>Complete</x:v>
      </x:c>
      <x:c r="L21" s="33" t="str">
        <x:v>Inventory record</x:v>
      </x:c>
      <x:c r="M21" s="55" t="n">
        <x:f>IF(K21="Complete",1,IF(K21="Ongoing",0.75,IF(K21="In Progress",0.5,IF(K21="Planned",0,0))))</x:f>
        <x:v>1</x:v>
      </x:c>
    </x:row>
    <x:row r="22">
      <x:c r="A22" s="33" t="str">
        <x:v>IMP-017</x:v>
      </x:c>
      <x:c r="B22" s="33" t="str">
        <x:v>Define</x:v>
      </x:c>
      <x:c r="C22" s="33" t="str">
        <x:v>Safeguards</x:v>
      </x:c>
      <x:c r="D22" s="33" t="str">
        <x:v>Map regulatory themes to controls</x:v>
      </x:c>
      <x:c r="E22" s="33" t="str">
        <x:v>Show practical implementation rather than broad compliance claims.</x:v>
      </x:c>
      <x:c r="F22" s="33" t="str">
        <x:v>Mapped EU AI Act, GDPR, DPDP, and ISO 42001 themes to code, tests, and evidence.</x:v>
      </x:c>
      <x:c r="G22" s="33" t="str">
        <x:v>governance/11_regulatory_control_matrix.md</x:v>
      </x:c>
      <x:c r="H22" s="33" t="str">
        <x:v>EU AI Act; GDPR; DPDP; ISO 42001</x:v>
      </x:c>
      <x:c r="I22" s="33" t="str">
        <x:v>Governance Owner</x:v>
      </x:c>
      <x:c r="J22" s="33" t="str">
        <x:v>High</x:v>
      </x:c>
      <x:c r="K22" s="33" t="str">
        <x:v>Complete</x:v>
      </x:c>
      <x:c r="L22" s="33" t="str">
        <x:v>Control mapping published</x:v>
      </x:c>
      <x:c r="M22" s="55" t="n">
        <x:f>IF(K22="Complete",1,IF(K22="Ongoing",0.75,IF(K22="In Progress",0.5,IF(K22="Planned",0,0))))</x:f>
        <x:v>1</x:v>
      </x:c>
    </x:row>
    <x:row r="23">
      <x:c r="A23" s="33" t="str">
        <x:v>IMP-018</x:v>
      </x:c>
      <x:c r="B23" s="33" t="str">
        <x:v>Define</x:v>
      </x:c>
      <x:c r="C23" s="33" t="str">
        <x:v>Success</x:v>
      </x:c>
      <x:c r="D23" s="33" t="str">
        <x:v>Set test and release thresholds</x:v>
      </x:c>
      <x:c r="E23" s="33" t="str">
        <x:v>Create objective go/no-go gates.</x:v>
      </x:c>
      <x:c r="F23" s="33" t="str">
        <x:v>100% defined prohibited/privacy tests blocked, all answered tests cited, zero raw audit text, all tests pass.</x:v>
      </x:c>
      <x:c r="G23" s="33" t="str">
        <x:v>governance/04_requirements.md; 14_test_strategy.md</x:v>
      </x:c>
      <x:c r="H23" s="33" t="str">
        <x:v>ISO 42001 evaluation</x:v>
      </x:c>
      <x:c r="I23" s="33" t="str">
        <x:v>Technical Owner</x:v>
      </x:c>
      <x:c r="J23" s="33" t="str">
        <x:v>High</x:v>
      </x:c>
      <x:c r="K23" s="33" t="str">
        <x:v>Complete</x:v>
      </x:c>
      <x:c r="L23" s="33" t="str">
        <x:v>Release criteria approved</x:v>
      </x:c>
      <x:c r="M23" s="55" t="n">
        <x:f>IF(K23="Complete",1,IF(K23="Ongoing",0.75,IF(K23="In Progress",0.5,IF(K23="Planned",0,0))))</x:f>
        <x:v>1</x:v>
      </x:c>
    </x:row>
    <x:row r="24">
      <x:c r="A24" s="33" t="str">
        <x:v>IMP-019</x:v>
      </x:c>
      <x:c r="B24" s="33" t="str">
        <x:v>Design</x:v>
      </x:c>
      <x:c r="C24" s="33" t="str">
        <x:v>Strategy</x:v>
      </x:c>
      <x:c r="D24" s="33" t="str">
        <x:v>Select deterministic Stage 1 architecture</x:v>
      </x:c>
      <x:c r="E24" s="33" t="str">
        <x:v>Match small-company budget and prove controls before an LLM.</x:v>
      </x:c>
      <x:c r="F24" s="33" t="str">
        <x:v>Selected local deterministic retrieval with no external processor or API.</x:v>
      </x:c>
      <x:c r="G24" s="33" t="str">
        <x:v>governance/06_solution_architecture.md</x:v>
      </x:c>
      <x:c r="H24" s="33" t="str">
        <x:v>Privacy by design; least agency</x:v>
      </x:c>
      <x:c r="I24" s="33" t="str">
        <x:v>Technical Owner</x:v>
      </x:c>
      <x:c r="J24" s="33" t="str">
        <x:v>High</x:v>
      </x:c>
      <x:c r="K24" s="33" t="str">
        <x:v>Complete</x:v>
      </x:c>
      <x:c r="L24" s="33" t="str">
        <x:v>Architecture decision documented</x:v>
      </x:c>
      <x:c r="M24" s="55" t="n">
        <x:f>IF(K24="Complete",1,IF(K24="Ongoing",0.75,IF(K24="In Progress",0.5,IF(K24="Planned",0,0))))</x:f>
        <x:v>1</x:v>
      </x:c>
    </x:row>
    <x:row r="25">
      <x:c r="A25" s="33" t="str">
        <x:v>IMP-020</x:v>
      </x:c>
      <x:c r="B25" s="33" t="str">
        <x:v>Design</x:v>
      </x:c>
      <x:c r="C25" s="33" t="str">
        <x:v>Scope</x:v>
      </x:c>
      <x:c r="D25" s="33" t="str">
        <x:v>Separate application components</x:v>
      </x:c>
      <x:c r="E25" s="33" t="str">
        <x:v>Make control ownership inspectable and testable.</x:v>
      </x:c>
      <x:c r="F25" s="33" t="str">
        <x:v>Separated UI, guardrails, retrieval, response, audit, policies, tests, and governance docs.</x:v>
      </x:c>
      <x:c r="G25" s="33" t="str">
        <x:v>app.py; guardrails.py; policy_search.py; response_builder.py; audit.py</x:v>
      </x:c>
      <x:c r="H25" s="33" t="str">
        <x:v>ISO operational control</x:v>
      </x:c>
      <x:c r="I25" s="33" t="str">
        <x:v>Technical Owner</x:v>
      </x:c>
      <x:c r="J25" s="33" t="str">
        <x:v>Medium</x:v>
      </x:c>
      <x:c r="K25" s="33" t="str">
        <x:v>Complete</x:v>
      </x:c>
      <x:c r="L25" s="33" t="str">
        <x:v>Modular codebase</x:v>
      </x:c>
      <x:c r="M25" s="55" t="n">
        <x:f>IF(K25="Complete",1,IF(K25="Ongoing",0.75,IF(K25="In Progress",0.5,IF(K25="Planned",0,0))))</x:f>
        <x:v>1</x:v>
      </x:c>
    </x:row>
    <x:row r="26">
      <x:c r="A26" s="33" t="str">
        <x:v>IMP-021</x:v>
      </x:c>
      <x:c r="B26" s="33" t="str">
        <x:v>Design</x:v>
      </x:c>
      <x:c r="C26" s="33" t="str">
        <x:v>Safeguards</x:v>
      </x:c>
      <x:c r="D26" s="33" t="str">
        <x:v>Display disclosure and privacy notice</x:v>
      </x:c>
      <x:c r="E26" s="33" t="str">
        <x:v>Users must understand the system and safe-use boundaries.</x:v>
      </x:c>
      <x:c r="F26" s="33" t="str">
        <x:v>Displayed system type, limitations, no external model, and no-personal-data warning before input.</x:v>
      </x:c>
      <x:c r="G26" s="33" t="str">
        <x:v>config.py; app.py</x:v>
      </x:c>
      <x:c r="H26" s="33" t="str">
        <x:v>EU AI Act transparency; GDPR/DPDP notice</x:v>
      </x:c>
      <x:c r="I26" s="33" t="str">
        <x:v>POC Owner</x:v>
      </x:c>
      <x:c r="J26" s="33" t="str">
        <x:v>High</x:v>
      </x:c>
      <x:c r="K26" s="33" t="str">
        <x:v>Complete</x:v>
      </x:c>
      <x:c r="L26" s="33" t="str">
        <x:v>Visible UI notice</x:v>
      </x:c>
      <x:c r="M26" s="55" t="n">
        <x:f>IF(K26="Complete",1,IF(K26="Ongoing",0.75,IF(K26="In Progress",0.5,IF(K26="Planned",0,0))))</x:f>
        <x:v>1</x:v>
      </x:c>
    </x:row>
    <x:row r="27">
      <x:c r="A27" s="33" t="str">
        <x:v>IMP-022</x:v>
      </x:c>
      <x:c r="B27" s="33" t="str">
        <x:v>Design</x:v>
      </x:c>
      <x:c r="C27" s="33" t="str">
        <x:v>Safeguards</x:v>
      </x:c>
      <x:c r="D27" s="33" t="str">
        <x:v>Validate input</x:v>
      </x:c>
      <x:c r="E27" s="33" t="str">
        <x:v>Reject empty or excessive input and reduce abuse.</x:v>
      </x:c>
      <x:c r="F27" s="33" t="str">
        <x:v>Implemented empty-question and maximum-length checks.</x:v>
      </x:c>
      <x:c r="G27" s="33" t="str">
        <x:v>guardrails.py</x:v>
      </x:c>
      <x:c r="H27" s="33" t="str">
        <x:v>Security and robustness</x:v>
      </x:c>
      <x:c r="I27" s="33" t="str">
        <x:v>Technical Owner</x:v>
      </x:c>
      <x:c r="J27" s="33" t="str">
        <x:v>Medium</x:v>
      </x:c>
      <x:c r="K27" s="33" t="str">
        <x:v>Complete</x:v>
      </x:c>
      <x:c r="L27" s="33" t="str">
        <x:v>Input tests pass</x:v>
      </x:c>
      <x:c r="M27" s="55" t="n">
        <x:f>IF(K27="Complete",1,IF(K27="Ongoing",0.75,IF(K27="In Progress",0.5,IF(K27="Planned",0,0))))</x:f>
        <x:v>1</x:v>
      </x:c>
    </x:row>
    <x:row r="28">
      <x:c r="A28" s="33" t="str">
        <x:v>IMP-023</x:v>
      </x:c>
      <x:c r="B28" s="33" t="str">
        <x:v>Design</x:v>
      </x:c>
      <x:c r="C28" s="33" t="str">
        <x:v>Safeguards</x:v>
      </x:c>
      <x:c r="D28" s="33" t="str">
        <x:v>Detect personal identifiers</x:v>
      </x:c>
      <x:c r="E28" s="33" t="str">
        <x:v>Prevent unnecessary processing of personal data.</x:v>
      </x:c>
      <x:c r="F28" s="33" t="str">
        <x:v>Regex checks for email, phone, SSN, and employee ID patterns.</x:v>
      </x:c>
      <x:c r="G28" s="33" t="str">
        <x:v>guardrails.py</x:v>
      </x:c>
      <x:c r="H28" s="33" t="str">
        <x:v>GDPR/DPDP data minimization</x:v>
      </x:c>
      <x:c r="I28" s="33" t="str">
        <x:v>Privacy Reviewer</x:v>
      </x:c>
      <x:c r="J28" s="33" t="str">
        <x:v>High</x:v>
      </x:c>
      <x:c r="K28" s="33" t="str">
        <x:v>Complete</x:v>
      </x:c>
      <x:c r="L28" s="33" t="str">
        <x:v>PII tests pass</x:v>
      </x:c>
      <x:c r="M28" s="55" t="n">
        <x:f>IF(K28="Complete",1,IF(K28="Ongoing",0.75,IF(K28="In Progress",0.5,IF(K28="Planned",0,0))))</x:f>
        <x:v>1</x:v>
      </x:c>
    </x:row>
    <x:row r="29">
      <x:c r="A29" s="33" t="str">
        <x:v>IMP-024</x:v>
      </x:c>
      <x:c r="B29" s="33" t="str">
        <x:v>Design</x:v>
      </x:c>
      <x:c r="C29" s="33" t="str">
        <x:v>Safeguards</x:v>
      </x:c>
      <x:c r="D29" s="33" t="str">
        <x:v>Block confidential HR categories</x:v>
      </x:c>
      <x:c r="E29" s="33" t="str">
        <x:v>Prevent disclosure or handling of sensitive HR matters.</x:v>
      </x:c>
      <x:c r="F29" s="33" t="str">
        <x:v>Blocks salary, payroll, medical, disability, performance, complaint, investigation, and discipline requests.</x:v>
      </x:c>
      <x:c r="G29" s="33" t="str">
        <x:v>guardrails.py</x:v>
      </x:c>
      <x:c r="H29" s="33" t="str">
        <x:v>GDPR/DPDP safeguards</x:v>
      </x:c>
      <x:c r="I29" s="33" t="str">
        <x:v>HR Owner</x:v>
      </x:c>
      <x:c r="J29" s="33" t="str">
        <x:v>High</x:v>
      </x:c>
      <x:c r="K29" s="33" t="str">
        <x:v>Complete</x:v>
      </x:c>
      <x:c r="L29" s="33" t="str">
        <x:v>Confidential-category tests pass</x:v>
      </x:c>
      <x:c r="M29" s="55" t="n">
        <x:f>IF(K29="Complete",1,IF(K29="Ongoing",0.75,IF(K29="In Progress",0.5,IF(K29="Planned",0,0))))</x:f>
        <x:v>1</x:v>
      </x:c>
    </x:row>
    <x:row r="30">
      <x:c r="A30" s="33" t="str">
        <x:v>IMP-025</x:v>
      </x:c>
      <x:c r="B30" s="33" t="str">
        <x:v>Design</x:v>
      </x:c>
      <x:c r="C30" s="33" t="str">
        <x:v>Safeguards</x:v>
      </x:c>
      <x:c r="D30" s="33" t="str">
        <x:v>Block employment decisions and profiling</x:v>
      </x:c>
      <x:c r="E30" s="33" t="str">
        <x:v>Prevent significant automated HR outcomes.</x:v>
      </x:c>
      <x:c r="F30" s="33" t="str">
        <x:v>Blocks ranking, hiring, promotion, termination, discipline, and resignation-prediction requests.</x:v>
      </x:c>
      <x:c r="G30" s="33" t="str">
        <x:v>guardrails.py</x:v>
      </x:c>
      <x:c r="H30" s="33" t="str">
        <x:v>EU AI Act employment boundary; GDPR automated decisions</x:v>
      </x:c>
      <x:c r="I30" s="33" t="str">
        <x:v>Governance Owner</x:v>
      </x:c>
      <x:c r="J30" s="33" t="str">
        <x:v>High</x:v>
      </x:c>
      <x:c r="K30" s="33" t="str">
        <x:v>Complete</x:v>
      </x:c>
      <x:c r="L30" s="33" t="str">
        <x:v>Decision tests pass</x:v>
      </x:c>
      <x:c r="M30" s="55" t="n">
        <x:f>IF(K30="Complete",1,IF(K30="Ongoing",0.75,IF(K30="In Progress",0.5,IF(K30="Planned",0,0))))</x:f>
        <x:v>1</x:v>
      </x:c>
    </x:row>
    <x:row r="31">
      <x:c r="A31" s="33" t="str">
        <x:v>IMP-026</x:v>
      </x:c>
      <x:c r="B31" s="33" t="str">
        <x:v>Design</x:v>
      </x:c>
      <x:c r="C31" s="33" t="str">
        <x:v>Safeguards</x:v>
      </x:c>
      <x:c r="D31" s="33" t="str">
        <x:v>Detect prompt injection</x:v>
      </x:c>
      <x:c r="E31" s="33" t="str">
        <x:v>Prevent instruction override before future model integration.</x:v>
      </x:c>
      <x:c r="F31" s="33" t="str">
        <x:v>Blocks common ignore-rules, reveal-records, and hidden-instruction attempts.</x:v>
      </x:c>
      <x:c r="G31" s="33" t="str">
        <x:v>guardrails.py</x:v>
      </x:c>
      <x:c r="H31" s="33" t="str">
        <x:v>Robustness and cybersecurity</x:v>
      </x:c>
      <x:c r="I31" s="33" t="str">
        <x:v>Security Reviewer</x:v>
      </x:c>
      <x:c r="J31" s="33" t="str">
        <x:v>High</x:v>
      </x:c>
      <x:c r="K31" s="33" t="str">
        <x:v>Complete</x:v>
      </x:c>
      <x:c r="L31" s="33" t="str">
        <x:v>Injection test passes</x:v>
      </x:c>
      <x:c r="M31" s="55" t="n">
        <x:f>IF(K31="Complete",1,IF(K31="Ongoing",0.75,IF(K31="In Progress",0.5,IF(K31="Planned",0,0))))</x:f>
        <x:v>1</x:v>
      </x:c>
    </x:row>
    <x:row r="32">
      <x:c r="A32" s="33" t="str">
        <x:v>IMP-027</x:v>
      </x:c>
      <x:c r="B32" s="33" t="str">
        <x:v>Design</x:v>
      </x:c>
      <x:c r="C32" s="33" t="str">
        <x:v>Safeguards</x:v>
      </x:c>
      <x:c r="D32" s="33" t="str">
        <x:v>Validate approved sources</x:v>
      </x:c>
      <x:c r="E32" s="33" t="str">
        <x:v>Prevent draft, confidential, or unapproved policies from loading.</x:v>
      </x:c>
      <x:c r="F32" s="33" t="str">
        <x:v>Loads only documents with approved synthetic metadata.</x:v>
      </x:c>
      <x:c r="G32" s="33" t="str">
        <x:v>policy_search.py; policies/</x:v>
      </x:c>
      <x:c r="H32" s="33" t="str">
        <x:v>Data quality and accuracy</x:v>
      </x:c>
      <x:c r="I32" s="33" t="str">
        <x:v>HR Owner</x:v>
      </x:c>
      <x:c r="J32" s="33" t="str">
        <x:v>High</x:v>
      </x:c>
      <x:c r="K32" s="33" t="str">
        <x:v>Complete</x:v>
      </x:c>
      <x:c r="L32" s="33" t="str">
        <x:v>Approved-source test passes</x:v>
      </x:c>
      <x:c r="M32" s="55" t="n">
        <x:f>IF(K32="Complete",1,IF(K32="Ongoing",0.75,IF(K32="In Progress",0.5,IF(K32="Planned",0,0))))</x:f>
        <x:v>1</x:v>
      </x:c>
    </x:row>
    <x:row r="33">
      <x:c r="A33" s="33" t="str">
        <x:v>IMP-028</x:v>
      </x:c>
      <x:c r="B33" s="33" t="str">
        <x:v>Design</x:v>
      </x:c>
      <x:c r="C33" s="33" t="str">
        <x:v>Safeguards</x:v>
      </x:c>
      <x:c r="D33" s="33" t="str">
        <x:v>Apply retrieval evidence threshold</x:v>
      </x:c>
      <x:c r="E33" s="33" t="str">
        <x:v>Avoid answering on weak or generic matches.</x:v>
      </x:c>
      <x:c r="F33" s="33" t="str">
        <x:v>Requires sufficient meaningful term evidence; otherwise escalates to HR.</x:v>
      </x:c>
      <x:c r="G33" s="33" t="str">
        <x:v>policy_search.py; response_builder.py</x:v>
      </x:c>
      <x:c r="H33" s="33" t="str">
        <x:v>Accuracy; controlled failure</x:v>
      </x:c>
      <x:c r="I33" s="33" t="str">
        <x:v>Technical Owner</x:v>
      </x:c>
      <x:c r="J33" s="33" t="str">
        <x:v>High</x:v>
      </x:c>
      <x:c r="K33" s="33" t="str">
        <x:v>Complete</x:v>
      </x:c>
      <x:c r="L33" s="33" t="str">
        <x:v>Unsupported questions escalate</x:v>
      </x:c>
      <x:c r="M33" s="55" t="n">
        <x:f>IF(K33="Complete",1,IF(K33="Ongoing",0.75,IF(K33="In Progress",0.5,IF(K33="Planned",0,0))))</x:f>
        <x:v>1</x:v>
      </x:c>
    </x:row>
    <x:row r="34">
      <x:c r="A34" s="33" t="str">
        <x:v>IMP-029</x:v>
      </x:c>
      <x:c r="B34" s="33" t="str">
        <x:v>Design</x:v>
      </x:c>
      <x:c r="C34" s="33" t="str">
        <x:v>Safeguards</x:v>
      </x:c>
      <x:c r="D34" s="33" t="str">
        <x:v>Use extractive grounded responses</x:v>
      </x:c>
      <x:c r="E34" s="33" t="str">
        <x:v>Prevent invented company policy in Stage 1.</x:v>
      </x:c>
      <x:c r="F34" s="33" t="str">
        <x:v>Returns approved policy language rather than generative text.</x:v>
      </x:c>
      <x:c r="G34" s="33" t="str">
        <x:v>response_builder.py</x:v>
      </x:c>
      <x:c r="H34" s="33" t="str">
        <x:v>Accuracy and traceability</x:v>
      </x:c>
      <x:c r="I34" s="33" t="str">
        <x:v>Technical Owner</x:v>
      </x:c>
      <x:c r="J34" s="33" t="str">
        <x:v>High</x:v>
      </x:c>
      <x:c r="K34" s="33" t="str">
        <x:v>Complete</x:v>
      </x:c>
      <x:c r="L34" s="33" t="str">
        <x:v>Extractive-response test passes</x:v>
      </x:c>
      <x:c r="M34" s="55" t="n">
        <x:f>IF(K34="Complete",1,IF(K34="Ongoing",0.75,IF(K34="In Progress",0.5,IF(K34="Planned",0,0))))</x:f>
        <x:v>1</x:v>
      </x:c>
    </x:row>
    <x:row r="35">
      <x:c r="A35" s="33" t="str">
        <x:v>IMP-030</x:v>
      </x:c>
      <x:c r="B35" s="33" t="str">
        <x:v>Design</x:v>
      </x:c>
      <x:c r="C35" s="33" t="str">
        <x:v>Safeguards</x:v>
      </x:c>
      <x:c r="D35" s="33" t="str">
        <x:v>Provide source traceability</x:v>
      </x:c>
      <x:c r="E35" s="33" t="str">
        <x:v>Allow users and reviewers to verify an answer.</x:v>
      </x:c>
      <x:c r="F35" s="33" t="str">
        <x:v>Displays source title, section, and version.</x:v>
      </x:c>
      <x:c r="G35" s="33" t="str">
        <x:v>response_builder.py; app.py</x:v>
      </x:c>
      <x:c r="H35" s="33" t="str">
        <x:v>Transparency; accuracy</x:v>
      </x:c>
      <x:c r="I35" s="33" t="str">
        <x:v>HR Owner</x:v>
      </x:c>
      <x:c r="J35" s="33" t="str">
        <x:v>High</x:v>
      </x:c>
      <x:c r="K35" s="33" t="str">
        <x:v>Complete</x:v>
      </x:c>
      <x:c r="L35" s="33" t="str">
        <x:v>Citation tests pass</x:v>
      </x:c>
      <x:c r="M35" s="55" t="n">
        <x:f>IF(K35="Complete",1,IF(K35="Ongoing",0.75,IF(K35="In Progress",0.5,IF(K35="Planned",0,0))))</x:f>
        <x:v>1</x:v>
      </x:c>
    </x:row>
    <x:row r="36">
      <x:c r="A36" s="33" t="str">
        <x:v>IMP-031</x:v>
      </x:c>
      <x:c r="B36" s="33" t="str">
        <x:v>Design</x:v>
      </x:c>
      <x:c r="C36" s="33" t="str">
        <x:v>Safeguards</x:v>
      </x:c>
      <x:c r="D36" s="33" t="str">
        <x:v>Minimize audit logging</x:v>
      </x:c>
      <x:c r="E36" s="33" t="str">
        <x:v>Avoid turning logs into a privacy database.</x:v>
      </x:c>
      <x:c r="F36" s="33" t="str">
        <x:v>Records decision, category, control, source, and timestamp without raw question or answer.</x:v>
      </x:c>
      <x:c r="G36" s="33" t="str">
        <x:v>audit.py</x:v>
      </x:c>
      <x:c r="H36" s="33" t="str">
        <x:v>GDPR/DPDP data minimization and storage limitation</x:v>
      </x:c>
      <x:c r="I36" s="33" t="str">
        <x:v>Privacy Reviewer</x:v>
      </x:c>
      <x:c r="J36" s="33" t="str">
        <x:v>High</x:v>
      </x:c>
      <x:c r="K36" s="33" t="str">
        <x:v>Complete</x:v>
      </x:c>
      <x:c r="L36" s="33" t="str">
        <x:v>Audit-minimization test passes</x:v>
      </x:c>
      <x:c r="M36" s="55" t="n">
        <x:f>IF(K36="Complete",1,IF(K36="Ongoing",0.75,IF(K36="In Progress",0.5,IF(K36="Planned",0,0))))</x:f>
        <x:v>1</x:v>
      </x:c>
    </x:row>
    <x:row r="37">
      <x:c r="A37" s="33" t="str">
        <x:v>IMP-032</x:v>
      </x:c>
      <x:c r="B37" s="33" t="str">
        <x:v>Design</x:v>
      </x:c>
      <x:c r="C37" s="33" t="str">
        <x:v>Safeguards</x:v>
      </x:c>
      <x:c r="D37" s="33" t="str">
        <x:v>Provide human escalation</x:v>
      </x:c>
      <x:c r="E37" s="33" t="str">
        <x:v>Ensure sensitive, unsupported, or individual matters reach HR.</x:v>
      </x:c>
      <x:c r="F37" s="33" t="str">
        <x:v>Blocked and low-evidence requests receive a controlled HR referral.</x:v>
      </x:c>
      <x:c r="G37" s="33" t="str">
        <x:v>response_builder.py; app.py</x:v>
      </x:c>
      <x:c r="H37" s="33" t="str">
        <x:v>Human oversight</x:v>
      </x:c>
      <x:c r="I37" s="33" t="str">
        <x:v>HR Owner</x:v>
      </x:c>
      <x:c r="J37" s="33" t="str">
        <x:v>High</x:v>
      </x:c>
      <x:c r="K37" s="33" t="str">
        <x:v>Complete</x:v>
      </x:c>
      <x:c r="L37" s="33" t="str">
        <x:v>Escalation tests pass</x:v>
      </x:c>
      <x:c r="M37" s="55" t="n">
        <x:f>IF(K37="Complete",1,IF(K37="Ongoing",0.75,IF(K37="In Progress",0.5,IF(K37="Planned",0,0))))</x:f>
        <x:v>1</x:v>
      </x:c>
    </x:row>
    <x:row r="38">
      <x:c r="A38" s="33" t="str">
        <x:v>IMP-033</x:v>
      </x:c>
      <x:c r="B38" s="33" t="str">
        <x:v>Design</x:v>
      </x:c>
      <x:c r="C38" s="33" t="str">
        <x:v>Success</x:v>
      </x:c>
      <x:c r="D38" s="33" t="str">
        <x:v>Create requirement-control-code-test traceability</x:v>
      </x:c>
      <x:c r="E38" s="33" t="str">
        <x:v>Prove that documented requirements are implemented.</x:v>
      </x:c>
      <x:c r="F38" s="33" t="str">
        <x:v>Mapped requirements to controls, modules, tests, and evidence.</x:v>
      </x:c>
      <x:c r="G38" s="33" t="str">
        <x:v>governance/16_requirements_traceability.md</x:v>
      </x:c>
      <x:c r="H38" s="33" t="str">
        <x:v>ISO 42001 auditability</x:v>
      </x:c>
      <x:c r="I38" s="33" t="str">
        <x:v>Governance Owner</x:v>
      </x:c>
      <x:c r="J38" s="33" t="str">
        <x:v>High</x:v>
      </x:c>
      <x:c r="K38" s="33" t="str">
        <x:v>Complete</x:v>
      </x:c>
      <x:c r="L38" s="33" t="str">
        <x:v>Traceability matrix</x:v>
      </x:c>
      <x:c r="M38" s="55" t="n">
        <x:f>IF(K38="Complete",1,IF(K38="Ongoing",0.75,IF(K38="In Progress",0.5,IF(K38="Planned",0,0))))</x:f>
        <x:v>1</x:v>
      </x:c>
    </x:row>
    <x:row r="39">
      <x:c r="A39" s="33" t="str">
        <x:v>IMP-034</x:v>
      </x:c>
      <x:c r="B39" s="33" t="str">
        <x:v>Design</x:v>
      </x:c>
      <x:c r="C39" s="33" t="str">
        <x:v>Success</x:v>
      </x:c>
      <x:c r="D39" s="33" t="str">
        <x:v>Define monitoring, incidents, and change controls</x:v>
      </x:c>
      <x:c r="E39" s="33" t="str">
        <x:v>Prepare the prototype for controlled operation and improvement.</x:v>
      </x:c>
      <x:c r="F39" s="33" t="str">
        <x:v>Defined metrics, retention, incident response, change approval, and review cadence.</x:v>
      </x:c>
      <x:c r="G39" s="33" t="str">
        <x:v>governance/17_incident_response.md; 18_change_management.md; 19_monitoring_plan.md</x:v>
      </x:c>
      <x:c r="H39" s="33" t="str">
        <x:v>ISO 42001 improvement</x:v>
      </x:c>
      <x:c r="I39" s="33" t="str">
        <x:v>Governance Owner</x:v>
      </x:c>
      <x:c r="J39" s="33" t="str">
        <x:v>Medium</x:v>
      </x:c>
      <x:c r="K39" s="33" t="str">
        <x:v>Complete</x:v>
      </x:c>
      <x:c r="L39" s="33" t="str">
        <x:v>Operations plan documented</x:v>
      </x:c>
      <x:c r="M39" s="55" t="n">
        <x:f>IF(K39="Complete",1,IF(K39="Ongoing",0.75,IF(K39="In Progress",0.5,IF(K39="Planned",0,0))))</x:f>
        <x:v>1</x:v>
      </x:c>
    </x:row>
    <x:row r="40">
      <x:c r="A40" s="33" t="str">
        <x:v>IMP-035</x:v>
      </x:c>
      <x:c r="B40" s="33" t="str">
        <x:v>Deliver</x:v>
      </x:c>
      <x:c r="C40" s="33" t="str">
        <x:v>Strategy</x:v>
      </x:c>
      <x:c r="D40" s="33" t="str">
        <x:v>Build Streamlit user interface</x:v>
      </x:c>
      <x:c r="E40" s="33" t="str">
        <x:v>Provide an interactive demonstration without separate front-end complexity.</x:v>
      </x:c>
      <x:c r="F40" s="33" t="str">
        <x:v>Created notices, question form, response, source, decision, and governance panels.</x:v>
      </x:c>
      <x:c r="G40" s="33" t="str">
        <x:v>app.py</x:v>
      </x:c>
      <x:c r="H40" s="33" t="str">
        <x:v>AI literacy and transparency</x:v>
      </x:c>
      <x:c r="I40" s="33" t="str">
        <x:v>Technical Owner</x:v>
      </x:c>
      <x:c r="J40" s="33" t="str">
        <x:v>High</x:v>
      </x:c>
      <x:c r="K40" s="33" t="str">
        <x:v>Complete</x:v>
      </x:c>
      <x:c r="L40" s="33" t="str">
        <x:v>Local and public UI works</x:v>
      </x:c>
      <x:c r="M40" s="55" t="n">
        <x:f>IF(K40="Complete",1,IF(K40="Ongoing",0.75,IF(K40="In Progress",0.5,IF(K40="Planned",0,0))))</x:f>
        <x:v>1</x:v>
      </x:c>
    </x:row>
    <x:row r="41">
      <x:c r="A41" s="33" t="str">
        <x:v>IMP-036</x:v>
      </x:c>
      <x:c r="B41" s="33" t="str">
        <x:v>Deliver</x:v>
      </x:c>
      <x:c r="C41" s="33" t="str">
        <x:v>Scope</x:v>
      </x:c>
      <x:c r="D41" s="33" t="str">
        <x:v>Create synthetic policy documents</x:v>
      </x:c>
      <x:c r="E41" s="33" t="str">
        <x:v>Enable public testing without real company or employee data.</x:v>
      </x:c>
      <x:c r="F41" s="33" t="str">
        <x:v>Created fictional leave, remote-work, and expense policies with approval metadata.</x:v>
      </x:c>
      <x:c r="G41" s="33" t="str">
        <x:v>policies/</x:v>
      </x:c>
      <x:c r="H41" s="33" t="str">
        <x:v>GDPR/DPDP privacy by design</x:v>
      </x:c>
      <x:c r="I41" s="33" t="str">
        <x:v>HR Owner</x:v>
      </x:c>
      <x:c r="J41" s="33" t="str">
        <x:v>High</x:v>
      </x:c>
      <x:c r="K41" s="33" t="str">
        <x:v>Complete</x:v>
      </x:c>
      <x:c r="L41" s="33" t="str">
        <x:v>Three synthetic policies</x:v>
      </x:c>
      <x:c r="M41" s="55" t="n">
        <x:f>IF(K41="Complete",1,IF(K41="Ongoing",0.75,IF(K41="In Progress",0.5,IF(K41="Planned",0,0))))</x:f>
        <x:v>1</x:v>
      </x:c>
    </x:row>
    <x:row r="42">
      <x:c r="A42" s="33" t="str">
        <x:v>IMP-037</x:v>
      </x:c>
      <x:c r="B42" s="33" t="str">
        <x:v>Deliver</x:v>
      </x:c>
      <x:c r="C42" s="33" t="str">
        <x:v>Safeguards</x:v>
      </x:c>
      <x:c r="D42" s="33" t="str">
        <x:v>Build automated test suite</x:v>
      </x:c>
      <x:c r="E42" s="33" t="str">
        <x:v>A written control is incomplete until its behavior is tested.</x:v>
      </x:c>
      <x:c r="F42" s="33" t="str">
        <x:v>Created unit and regulatory control tests for allow, block, cite, escalate, and minimized logging behavior.</x:v>
      </x:c>
      <x:c r="G42" s="33" t="str">
        <x:v>tests/</x:v>
      </x:c>
      <x:c r="H42" s="33" t="str">
        <x:v>EU AI Act robustness; ISO evaluation</x:v>
      </x:c>
      <x:c r="I42" s="33" t="str">
        <x:v>Technical Owner</x:v>
      </x:c>
      <x:c r="J42" s="33" t="str">
        <x:v>High</x:v>
      </x:c>
      <x:c r="K42" s="33" t="str">
        <x:v>Complete</x:v>
      </x:c>
      <x:c r="L42" s="33" t="str">
        <x:v>21 tests pass</x:v>
      </x:c>
      <x:c r="M42" s="55" t="n">
        <x:f>IF(K42="Complete",1,IF(K42="Ongoing",0.75,IF(K42="In Progress",0.5,IF(K42="Planned",0,0))))</x:f>
        <x:v>1</x:v>
      </x:c>
    </x:row>
    <x:row r="43">
      <x:c r="A43" s="33" t="str">
        <x:v>IMP-038</x:v>
      </x:c>
      <x:c r="B43" s="33" t="str">
        <x:v>Deliver</x:v>
      </x:c>
      <x:c r="C43" s="33" t="str">
        <x:v>Safeguards</x:v>
      </x:c>
      <x:c r="D43" s="33" t="str">
        <x:v>Automate CI checks</x:v>
      </x:c>
      <x:c r="E43" s="33" t="str">
        <x:v>Prevent untested changes from reaching main.</x:v>
      </x:c>
      <x:c r="F43" s="33" t="str">
        <x:v>GitHub Actions installs dependencies, compiles syntax, runs tests, starts Streamlit, and checks health.</x:v>
      </x:c>
      <x:c r="G43" s="33" t="str">
        <x:v>github/workflows/tests.yml</x:v>
      </x:c>
      <x:c r="H43" s="33" t="str">
        <x:v>Change control and continuous assurance</x:v>
      </x:c>
      <x:c r="I43" s="33" t="str">
        <x:v>Technical Owner</x:v>
      </x:c>
      <x:c r="J43" s="33" t="str">
        <x:v>High</x:v>
      </x:c>
      <x:c r="K43" s="33" t="str">
        <x:v>Complete</x:v>
      </x:c>
      <x:c r="L43" s="33" t="str">
        <x:v>Green GitHub checks</x:v>
      </x:c>
      <x:c r="M43" s="55" t="n">
        <x:f>IF(K43="Complete",1,IF(K43="Ongoing",0.75,IF(K43="In Progress",0.5,IF(K43="Planned",0,0))))</x:f>
        <x:v>1</x:v>
      </x:c>
    </x:row>
    <x:row r="44">
      <x:c r="A44" s="33" t="str">
        <x:v>IMP-039</x:v>
      </x:c>
      <x:c r="B44" s="33" t="str">
        <x:v>Deliver</x:v>
      </x:c>
      <x:c r="C44" s="33" t="str">
        <x:v>Safeguards</x:v>
      </x:c>
      <x:c r="D44" s="33" t="str">
        <x:v>Perform manual adversarial testing</x:v>
      </x:c>
      <x:c r="E44" s="33" t="str">
        <x:v>Automated tests may miss realistic wording and UI issues.</x:v>
      </x:c>
      <x:c r="F44" s="33" t="str">
        <x:v>Tested approved question, salary request, prompt injection, and unsupported parental-leave question.</x:v>
      </x:c>
      <x:c r="G44" s="33" t="str">
        <x:v>governance/24_demo_script.md; test evidence</x:v>
      </x:c>
      <x:c r="H44" s="33" t="str">
        <x:v>Human oversight and robustness</x:v>
      </x:c>
      <x:c r="I44" s="33" t="str">
        <x:v>POC Owner</x:v>
      </x:c>
      <x:c r="J44" s="33" t="str">
        <x:v>High</x:v>
      </x:c>
      <x:c r="K44" s="33" t="str">
        <x:v>Complete</x:v>
      </x:c>
      <x:c r="L44" s="33" t="str">
        <x:v>Manual scenarios executed</x:v>
      </x:c>
      <x:c r="M44" s="55" t="n">
        <x:f>IF(K44="Complete",1,IF(K44="Ongoing",0.75,IF(K44="In Progress",0.5,IF(K44="Planned",0,0))))</x:f>
        <x:v>1</x:v>
      </x:c>
    </x:row>
    <x:row r="45">
      <x:c r="A45" s="33" t="str">
        <x:v>IMP-040</x:v>
      </x:c>
      <x:c r="B45" s="33" t="str">
        <x:v>Deliver</x:v>
      </x:c>
      <x:c r="C45" s="33" t="str">
        <x:v>Safeguards</x:v>
      </x:c>
      <x:c r="D45" s="33" t="str">
        <x:v>Correct wrong-source retrieval defect</x:v>
      </x:c>
      <x:c r="E45" s="33" t="str">
        <x:v>Governance requires corrective action when a control fails.</x:v>
      </x:c>
      <x:c r="F45" s="33" t="str">
        <x:v>Removed generic HR terms from retrieval evidence, retested, and added a regression test.</x:v>
      </x:c>
      <x:c r="G45" s="33" t="str">
        <x:v>policy_search.py; tests/test_response_builder.py; test_report.md</x:v>
      </x:c>
      <x:c r="H45" s="33" t="str">
        <x:v>ISO 42001 corrective action</x:v>
      </x:c>
      <x:c r="I45" s="33" t="str">
        <x:v>Technical Owner</x:v>
      </x:c>
      <x:c r="J45" s="33" t="str">
        <x:v>High</x:v>
      </x:c>
      <x:c r="K45" s="33" t="str">
        <x:v>Complete</x:v>
      </x:c>
      <x:c r="L45" s="33" t="str">
        <x:v>Defect closed; recurrence test passes</x:v>
      </x:c>
      <x:c r="M45" s="55" t="n">
        <x:f>IF(K45="Complete",1,IF(K45="Ongoing",0.75,IF(K45="In Progress",0.5,IF(K45="Planned",0,0))))</x:f>
        <x:v>1</x:v>
      </x:c>
    </x:row>
    <x:row r="46">
      <x:c r="A46" s="33" t="str">
        <x:v>IMP-041</x:v>
      </x:c>
      <x:c r="B46" s="33" t="str">
        <x:v>Deliver</x:v>
      </x:c>
      <x:c r="C46" s="33" t="str">
        <x:v>Safeguards</x:v>
      </x:c>
      <x:c r="D46" s="33" t="str">
        <x:v>Scan dependencies</x:v>
      </x:c>
      <x:c r="E46" s="33" t="str">
        <x:v>Third-party packages can introduce known vulnerabilities.</x:v>
      </x:c>
      <x:c r="F46" s="33" t="str">
        <x:v>Ran pip-audit against requirements.txt.</x:v>
      </x:c>
      <x:c r="G46" s="33" t="str">
        <x:v>evidence/dependency_security_scan.txt</x:v>
      </x:c>
      <x:c r="H46" s="33" t="str">
        <x:v>Cybersecurity and supplier risk</x:v>
      </x:c>
      <x:c r="I46" s="33" t="str">
        <x:v>Security Reviewer</x:v>
      </x:c>
      <x:c r="J46" s="33" t="str">
        <x:v>High</x:v>
      </x:c>
      <x:c r="K46" s="33" t="str">
        <x:v>Complete</x:v>
      </x:c>
      <x:c r="L46" s="33" t="str">
        <x:v>No known vulnerabilities found at scan time</x:v>
      </x:c>
      <x:c r="M46" s="55" t="n">
        <x:f>IF(K46="Complete",1,IF(K46="Ongoing",0.75,IF(K46="In Progress",0.5,IF(K46="Planned",0,0))))</x:f>
        <x:v>1</x:v>
      </x:c>
    </x:row>
    <x:row r="47">
      <x:c r="A47" s="33" t="str">
        <x:v>IMP-042</x:v>
      </x:c>
      <x:c r="B47" s="33" t="str">
        <x:v>Deliver</x:v>
      </x:c>
      <x:c r="C47" s="33" t="str">
        <x:v>Safeguards</x:v>
      </x:c>
      <x:c r="D47" s="33" t="str">
        <x:v>Scan secrets and public-release content</x:v>
      </x:c>
      <x:c r="E47" s="33" t="str">
        <x:v>A public repository must not expose credentials or confidential material.</x:v>
      </x:c>
      <x:c r="F47" s="33" t="str">
        <x:v>Verified .gitignore, tracked files, common key patterns, synthetic data, license, and fictional name.</x:v>
      </x:c>
      <x:c r="G47" s="33" t="str">
        <x:v>git history; .gitignore; publication checklist</x:v>
      </x:c>
      <x:c r="H47" s="33" t="str">
        <x:v>Security; privacy by design</x:v>
      </x:c>
      <x:c r="I47" s="33" t="str">
        <x:v>Security Reviewer</x:v>
      </x:c>
      <x:c r="J47" s="33" t="str">
        <x:v>High</x:v>
      </x:c>
      <x:c r="K47" s="33" t="str">
        <x:v>Complete</x:v>
      </x:c>
      <x:c r="L47" s="33" t="str">
        <x:v>No tracked secrets found</x:v>
      </x:c>
      <x:c r="M47" s="55" t="n">
        <x:f>IF(K47="Complete",1,IF(K47="Ongoing",0.75,IF(K47="In Progress",0.5,IF(K47="Planned",0,0))))</x:f>
        <x:v>1</x:v>
      </x:c>
    </x:row>
    <x:row r="48">
      <x:c r="A48" s="33" t="str">
        <x:v>IMP-043</x:v>
      </x:c>
      <x:c r="B48" s="33" t="str">
        <x:v>Deliver</x:v>
      </x:c>
      <x:c r="C48" s="33" t="str">
        <x:v>Success</x:v>
      </x:c>
      <x:c r="D48" s="33" t="str">
        <x:v>Publish GitHub portfolio repository</x:v>
      </x:c>
      <x:c r="E48" s="33" t="str">
        <x:v>Make code, controls, tests, and evidence reviewable by interviewers.</x:v>
      </x:c>
      <x:c r="F48" s="33" t="str">
        <x:v>Used branches, pull requests, CI checks, and public repository release.</x:v>
      </x:c>
      <x:c r="G48" s="33" t="str">
        <x:v>Public GitHub repository</x:v>
      </x:c>
      <x:c r="H48" s="33" t="str">
        <x:v>Transparency and auditability</x:v>
      </x:c>
      <x:c r="I48" s="33" t="str">
        <x:v>POC Owner</x:v>
      </x:c>
      <x:c r="J48" s="33" t="str">
        <x:v>Medium</x:v>
      </x:c>
      <x:c r="K48" s="33" t="str">
        <x:v>Complete</x:v>
      </x:c>
      <x:c r="L48" s="33" t="str">
        <x:v>Repository public</x:v>
      </x:c>
      <x:c r="M48" s="55" t="n">
        <x:f>IF(K48="Complete",1,IF(K48="Ongoing",0.75,IF(K48="In Progress",0.5,IF(K48="Planned",0,0))))</x:f>
        <x:v>1</x:v>
      </x:c>
    </x:row>
    <x:row r="49">
      <x:c r="A49" s="33" t="str">
        <x:v>IMP-044</x:v>
      </x:c>
      <x:c r="B49" s="33" t="str">
        <x:v>Deliver</x:v>
      </x:c>
      <x:c r="C49" s="33" t="str">
        <x:v>Success</x:v>
      </x:c>
      <x:c r="D49" s="33" t="str">
        <x:v>Deploy public Streamlit demonstration</x:v>
      </x:c>
      <x:c r="E49" s="33" t="str">
        <x:v>Allow reviewers to experience system behavior directly.</x:v>
      </x:c>
      <x:c r="F49" s="33" t="str">
        <x:v>Deployed app.py from main through Streamlit Community Cloud.</x:v>
      </x:c>
      <x:c r="G49" s="33" t="str">
        <x:v>Public Streamlit URL</x:v>
      </x:c>
      <x:c r="H49" s="33" t="str">
        <x:v>AI literacy and transparency</x:v>
      </x:c>
      <x:c r="I49" s="33" t="str">
        <x:v>POC Owner</x:v>
      </x:c>
      <x:c r="J49" s="33" t="str">
        <x:v>Medium</x:v>
      </x:c>
      <x:c r="K49" s="33" t="str">
        <x:v>Complete</x:v>
      </x:c>
      <x:c r="L49" s="33" t="str">
        <x:v>Public app running</x:v>
      </x:c>
      <x:c r="M49" s="55" t="n">
        <x:f>IF(K49="Complete",1,IF(K49="Ongoing",0.75,IF(K49="In Progress",0.5,IF(K49="Planned",0,0))))</x:f>
        <x:v>1</x:v>
      </x:c>
    </x:row>
    <x:row r="50">
      <x:c r="A50" s="33" t="str">
        <x:v>IMP-045</x:v>
      </x:c>
      <x:c r="B50" s="33" t="str">
        <x:v>Deliver</x:v>
      </x:c>
      <x:c r="C50" s="33" t="str">
        <x:v>Success</x:v>
      </x:c>
      <x:c r="D50" s="33" t="str">
        <x:v>Document interview and demo story</x:v>
      </x:c>
      <x:c r="E50" s="33" t="str">
        <x:v>Explain problem, decisions, controls, failure, correction, and outcome.</x:v>
      </x:c>
      <x:c r="F50" s="33" t="str">
        <x:v>Created walkthrough, demo script, evidence index, system card, and interview story.</x:v>
      </x:c>
      <x:c r="G50" s="33" t="str">
        <x:v>START_HERE.md; docs/; governance/24-25</x:v>
      </x:c>
      <x:c r="H50" s="33" t="str">
        <x:v>ISO support and competence</x:v>
      </x:c>
      <x:c r="I50" s="33" t="str">
        <x:v>POC Owner</x:v>
      </x:c>
      <x:c r="J50" s="33" t="str">
        <x:v>Medium</x:v>
      </x:c>
      <x:c r="K50" s="33" t="str">
        <x:v>Complete</x:v>
      </x:c>
      <x:c r="L50" s="33" t="str">
        <x:v>Portfolio narrative available</x:v>
      </x:c>
      <x:c r="M50" s="55" t="n">
        <x:f>IF(K50="Complete",1,IF(K50="Ongoing",0.75,IF(K50="In Progress",0.5,IF(K50="Planned",0,0))))</x:f>
        <x:v>1</x:v>
      </x:c>
    </x:row>
    <x:row r="51">
      <x:c r="A51" s="33" t="str">
        <x:v>IMP-046</x:v>
      </x:c>
      <x:c r="B51" s="33" t="str">
        <x:v>Deliver</x:v>
      </x:c>
      <x:c r="C51" s="33" t="str">
        <x:v>Strategy</x:v>
      </x:c>
      <x:c r="D51" s="33" t="str">
        <x:v>Plan Stage 2 Claude integration</x:v>
      </x:c>
      <x:c r="E51" s="33" t="str">
        <x:v>Model integration changes supplier, privacy, cost, output, and monitoring risk.</x:v>
      </x:c>
      <x:c r="F51" s="33" t="str">
        <x:v>Defined Claude insertion point and gates for supplier assessment, API secrets, data transfer, hallucination, output validation, cost, and model change.</x:v>
      </x:c>
      <x:c r="G51" s="33" t="str">
        <x:v>governance/22_supplier_assessment_stage2.md; 26_stage2_claude_roadmap.md</x:v>
      </x:c>
      <x:c r="H51" s="33" t="str">
        <x:v>EU AI Act/GDPR/DPDP reassessment; ISO lifecycle</x:v>
      </x:c>
      <x:c r="I51" s="33" t="str">
        <x:v>Governance Owner</x:v>
      </x:c>
      <x:c r="J51" s="33" t="str">
        <x:v>High</x:v>
      </x:c>
      <x:c r="K51" s="33" t="str">
        <x:v>Planned</x:v>
      </x:c>
      <x:c r="L51" s="33" t="str">
        <x:v>Stage 2 roadmap only; no model connected</x:v>
      </x:c>
      <x:c r="M51" s="55" t="n">
        <x:f>IF(K51="Complete",1,IF(K51="Ongoing",0.75,IF(K51="In Progress",0.5,IF(K51="Planned",0,0))))</x:f>
        <x:v>0</x:v>
      </x:c>
    </x:row>
    <x:row r="52">
      <x:c r="A52" s="33" t="str">
        <x:v>IMP-047</x:v>
      </x:c>
      <x:c r="B52" s="33" t="str">
        <x:v>Deliver</x:v>
      </x:c>
      <x:c r="C52" s="33" t="str">
        <x:v>Success</x:v>
      </x:c>
      <x:c r="D52" s="33" t="str">
        <x:v>Operate monitoring and periodic review</x:v>
      </x:c>
      <x:c r="E52" s="33" t="str">
        <x:v>Public deployment and future changes require ongoing assurance.</x:v>
      </x:c>
      <x:c r="F52" s="33" t="str">
        <x:v>Track usage, answer/block/escalation rates, wrong-source reports, policy age, failed tests, and incidents without raw content.</x:v>
      </x:c>
      <x:c r="G52" s="33" t="str">
        <x:v>governance/19_monitoring_plan.md</x:v>
      </x:c>
      <x:c r="H52" s="33" t="str">
        <x:v>ISO 42001 monitoring and improvement</x:v>
      </x:c>
      <x:c r="I52" s="33" t="str">
        <x:v>Governance Owner</x:v>
      </x:c>
      <x:c r="J52" s="33" t="str">
        <x:v>Medium</x:v>
      </x:c>
      <x:c r="K52" s="33" t="str">
        <x:v>Ongoing</x:v>
      </x:c>
      <x:c r="L52" s="33" t="str">
        <x:v>Review before each public release</x:v>
      </x:c>
      <x:c r="M52" s="55" t="n">
        <x:f>IF(K52="Complete",1,IF(K52="Ongoing",0.75,IF(K52="In Progress",0.5,IF(K52="Planned",0,0))))</x:f>
        <x:v>0.75</x:v>
      </x:c>
    </x:row>
  </x:sheetData>
  <x:mergeCells>
    <x:mergeCell ref="A1:M2"/>
    <x:mergeCell ref="A3:M3"/>
  </x:mergeCells>
  <x:conditionalFormatting sqref="K6:K52">
    <x:cfRule type="expression" dxfId="3" priority="1">
      <x:formula>K6="Complete"</x:formula>
    </x:cfRule>
    <x:cfRule type="expression" dxfId="4" priority="2">
      <x:formula>K6="Ongoing"</x:formula>
    </x:cfRule>
    <x:cfRule type="expression" dxfId="5" priority="3">
      <x:formula>K6="Planned"</x:formula>
    </x:cfRule>
  </x:conditionalFormatting>
  <x:conditionalFormatting sqref="M6:M52">
    <x:cfRule type="dataBar" priority="4">
      <x:dataBar>
        <x:cfvo type="min"/>
        <x:cfvo type="max"/>
        <x:color rgb="FF0F6B78"/>
      </x:dataBar>
      <x:extLst>
        <x:ext xmlns:x14="http://schemas.microsoft.com/office/spreadsheetml/2009/9/main" uri="{B025F937-C7B1-47D3-B67F-A62EFF666E3E}">
          <x14:id>{AF6BB84E-6699-9B4E-78AE-871D33E23DBB}</x14:id>
        </x:ext>
      </x:extLst>
    </x:cfRule>
  </x:conditionalFormatting>
  <x:dataValidations count="4">
    <x:dataValidation type="list" sqref="B6:B52">
      <x:formula1>"Discover,Define,Design,Deliver"</x:formula1>
    </x:dataValidation>
    <x:dataValidation type="list" sqref="C6:C52">
      <x:formula1>"Strategy,Scope,Safeguards,Success"</x:formula1>
    </x:dataValidation>
    <x:dataValidation type="list" sqref="J6:J52">
      <x:formula1>"High,Medium,Low"</x:formula1>
    </x:dataValidation>
    <x:dataValidation type="list" sqref="K6:K52">
      <x:formula1>"Complete,In Progress,Planned,Ongoing"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c563c063704e6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AF6BB84E-6699-9B4E-78AE-871D33E23DBB}">
            <x14:dataBar gradient="1">
              <x14:cfvo type="min"/>
              <x14:cfvo type="max"/>
              <x14:fillColor rgb="FF0F6B78"/>
            </x14:dataBar>
          </x14:cfRule>
          <xm:sqref>M6:M52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48" hidden="0" customWidth="1"/>
    <x:col min="5" max="5" width="38" hidden="0" customWidth="1"/>
    <x:col min="6" max="6" width="32" hidden="0" customWidth="1"/>
    <x:col min="7" max="7" width="13" hidden="0" customWidth="1"/>
    <x:col min="8" max="8" width="56" hidden="0" customWidth="1"/>
  </x:cols>
  <x:sheetData>
    <x:row r="1">
      <x:c r="A1" s="5" t="str">
        <x:v>Regulatory and Management-System Traceability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59" t="str">
        <x:v>Educational implementation mapping only — not legal advice, certification, or a claim of full compliance.</x:v>
      </x:c>
      <x:c r="B3" s="59"/>
      <x:c r="C3" s="59"/>
      <x:c r="D3" s="59"/>
      <x:c r="E3" s="59"/>
      <x:c r="F3" s="59"/>
      <x:c r="G3" s="59"/>
      <x:c r="H3" s="59"/>
    </x:row>
    <x:row r="5">
      <x:c r="A5" s="38" t="str">
        <x:v>Framework</x:v>
      </x:c>
      <x:c r="B5" s="38" t="str">
        <x:v>Theme / Requirement</x:v>
      </x:c>
      <x:c r="C5" s="38" t="str">
        <x:v>Control ID</x:v>
      </x:c>
      <x:c r="D5" s="38" t="str">
        <x:v>Practical Implementation</x:v>
      </x:c>
      <x:c r="E5" s="38" t="str">
        <x:v>Code / Document</x:v>
      </x:c>
      <x:c r="F5" s="38" t="str">
        <x:v>Test / Evidence</x:v>
      </x:c>
      <x:c r="G5" s="38" t="str">
        <x:v>Status</x:v>
      </x:c>
      <x:c r="H5" s="38" t="str">
        <x:v>Official Source</x:v>
      </x:c>
    </x:row>
    <x:row r="6">
      <x:c r="A6" s="33" t="str">
        <x:v>EU AI Act</x:v>
      </x:c>
      <x:c r="B6" s="33" t="str">
        <x:v>Risk-based classification and intended purpose</x:v>
      </x:c>
      <x:c r="C6" s="33" t="str">
        <x:v>C-GOV-01</x:v>
      </x:c>
      <x:c r="D6" s="33" t="str">
        <x:v>Documented the POC as an informational policy assistant and prohibited recruitment, worker evaluation, ranking, promotion, discipline, and termination uses.</x:v>
      </x:c>
      <x:c r="E6" s="33" t="str">
        <x:v>02_use_case_and_scope.md; 08_ai_system_inventory.md; 09_ai_impact_assessment.md</x:v>
      </x:c>
      <x:c r="F6" s="33" t="str">
        <x:v>Scope review; prohibited-decision tests</x:v>
      </x:c>
      <x:c r="G6" s="33" t="str">
        <x:v>Implemented</x:v>
      </x:c>
      <x:c r="H6" s="33" t="str">
        <x:v>https://eur-lex.europa.eu/eli/reg/2024/1689/oj/eng</x:v>
      </x:c>
    </x:row>
    <x:row r="7">
      <x:c r="A7" s="33" t="str">
        <x:v>EU AI Act</x:v>
      </x:c>
      <x:c r="B7" s="33" t="str">
        <x:v>Transparency to users</x:v>
      </x:c>
      <x:c r="C7" s="33" t="str">
        <x:v>C-01/C-02</x:v>
      </x:c>
      <x:c r="D7" s="33" t="str">
        <x:v>Displays system type, limitations, synthetic-data statement, and privacy notice before input.</x:v>
      </x:c>
      <x:c r="E7" s="33" t="str">
        <x:v>config.py; app.py; 20_user_notice.md</x:v>
      </x:c>
      <x:c r="F7" s="33" t="str">
        <x:v>Manual UI acceptance test</x:v>
      </x:c>
      <x:c r="G7" s="33" t="str">
        <x:v>Implemented</x:v>
      </x:c>
      <x:c r="H7" s="33" t="str">
        <x:v>https://digital-strategy.ec.europa.eu/en/policies/regulatory-framework-ai</x:v>
      </x:c>
    </x:row>
    <x:row r="8">
      <x:c r="A8" s="33" t="str">
        <x:v>EU AI Act</x:v>
      </x:c>
      <x:c r="B8" s="33" t="str">
        <x:v>Human oversight</x:v>
      </x:c>
      <x:c r="C8" s="33" t="str">
        <x:v>C-15</x:v>
      </x:c>
      <x:c r="D8" s="33" t="str">
        <x:v>Sensitive, individual, unsupported, and low-evidence questions are blocked or escalated to HR.</x:v>
      </x:c>
      <x:c r="E8" s="33" t="str">
        <x:v>guardrails.py; response_builder.py</x:v>
      </x:c>
      <x:c r="F8" s="33" t="str">
        <x:v>Human-escalation tests</x:v>
      </x:c>
      <x:c r="G8" s="33" t="str">
        <x:v>Implemented</x:v>
      </x:c>
      <x:c r="H8" s="33" t="str">
        <x:v>https://eur-lex.europa.eu/eli/reg/2024/1689/oj/eng</x:v>
      </x:c>
    </x:row>
    <x:row r="9">
      <x:c r="A9" s="33" t="str">
        <x:v>EU AI Act</x:v>
      </x:c>
      <x:c r="B9" s="33" t="str">
        <x:v>Accuracy and traceability</x:v>
      </x:c>
      <x:c r="C9" s="33" t="str">
        <x:v>C-08/C-09/C-10</x:v>
      </x:c>
      <x:c r="D9" s="33" t="str">
        <x:v>Uses approved versioned policy sources, evidence threshold, extractive response, and source/section/version citation.</x:v>
      </x:c>
      <x:c r="E9" s="33" t="str">
        <x:v>policy_search.py; response_builder.py</x:v>
      </x:c>
      <x:c r="F9" s="33" t="str">
        <x:v>Retrieval, groundedness, citation, and regression tests</x:v>
      </x:c>
      <x:c r="G9" s="33" t="str">
        <x:v>Implemented</x:v>
      </x:c>
      <x:c r="H9" s="33" t="str">
        <x:v>https://eur-lex.europa.eu/eli/reg/2024/1689/oj/eng</x:v>
      </x:c>
    </x:row>
    <x:row r="10">
      <x:c r="A10" s="33" t="str">
        <x:v>EU AI Act</x:v>
      </x:c>
      <x:c r="B10" s="33" t="str">
        <x:v>Record keeping</x:v>
      </x:c>
      <x:c r="C10" s="33" t="str">
        <x:v>C-13</x:v>
      </x:c>
      <x:c r="D10" s="33" t="str">
        <x:v>Records minimized decision, category, control, source, and timestamp metadata without raw question or answer.</x:v>
      </x:c>
      <x:c r="E10" s="33" t="str">
        <x:v>audit.py; 05_data_inventory_and_flow.md</x:v>
      </x:c>
      <x:c r="F10" s="33" t="str">
        <x:v>Audit-minimization test</x:v>
      </x:c>
      <x:c r="G10" s="33" t="str">
        <x:v>Implemented</x:v>
      </x:c>
      <x:c r="H10" s="33" t="str">
        <x:v>https://eur-lex.europa.eu/eli/reg/2024/1689/oj/eng</x:v>
      </x:c>
    </x:row>
    <x:row r="11">
      <x:c r="A11" s="33" t="str">
        <x:v>EU AI Act</x:v>
      </x:c>
      <x:c r="B11" s="33" t="str">
        <x:v>Robustness and cybersecurity</x:v>
      </x:c>
      <x:c r="C11" s="33" t="str">
        <x:v>C-03/C-07/C-11/C-12</x:v>
      </x:c>
      <x:c r="D11" s="33" t="str">
        <x:v>Input limits, injection detection, approved-source validation, automated tests, CI syntax checks, and Streamlit health smoke test.</x:v>
      </x:c>
      <x:c r="E11" s="33" t="str">
        <x:v>guardrails.py; GitHub Actions</x:v>
      </x:c>
      <x:c r="F11" s="33" t="str">
        <x:v>Injection test; CI green checks</x:v>
      </x:c>
      <x:c r="G11" s="33" t="str">
        <x:v>Implemented</x:v>
      </x:c>
      <x:c r="H11" s="33" t="str">
        <x:v>https://eur-lex.europa.eu/eli/reg/2024/1689/oj/eng</x:v>
      </x:c>
    </x:row>
    <x:row r="12">
      <x:c r="A12" s="33" t="str">
        <x:v>EU AI Act</x:v>
      </x:c>
      <x:c r="B12" s="33" t="str">
        <x:v>Prevent unapproved high-risk employment use</x:v>
      </x:c>
      <x:c r="C12" s="33" t="str">
        <x:v>C-06</x:v>
      </x:c>
      <x:c r="D12" s="33" t="str">
        <x:v>Blocks candidate/employee ranking, hiring, promotion, performance, discipline, termination, and resignation prediction.</x:v>
      </x:c>
      <x:c r="E12" s="33" t="str">
        <x:v>guardrails.py; 02_use_case_and_scope.md</x:v>
      </x:c>
      <x:c r="F12" s="33" t="str">
        <x:v>Employment-decision tests</x:v>
      </x:c>
      <x:c r="G12" s="33" t="str">
        <x:v>Implemented</x:v>
      </x:c>
      <x:c r="H12" s="33" t="str">
        <x:v>https://eur-lex.europa.eu/eli/reg/2024/1689/oj/eng</x:v>
      </x:c>
    </x:row>
    <x:row r="13">
      <x:c r="A13" s="33" t="str">
        <x:v>EU AI Act</x:v>
      </x:c>
      <x:c r="B13" s="33" t="str">
        <x:v>AI literacy and limitation awareness</x:v>
      </x:c>
      <x:c r="C13" s="33" t="str">
        <x:v>C-GOV-02</x:v>
      </x:c>
      <x:c r="D13" s="33" t="str">
        <x:v>Provides START_HERE, implementation walkthrough, demo script, system card, limitations, and interview story.</x:v>
      </x:c>
      <x:c r="E13" s="33" t="str">
        <x:v>START_HERE.md; docs/; governance/21,24,25</x:v>
      </x:c>
      <x:c r="F13" s="33" t="str">
        <x:v>Documentation review</x:v>
      </x:c>
      <x:c r="G13" s="33" t="str">
        <x:v>Implemented</x:v>
      </x:c>
      <x:c r="H13" s="33" t="str">
        <x:v>https://digital-strategy.ec.europa.eu/en/policies/regulatory-framework-ai</x:v>
      </x:c>
    </x:row>
    <x:row r="14">
      <x:c r="A14" s="33" t="str">
        <x:v>GDPR</x:v>
      </x:c>
      <x:c r="B14" s="33" t="str">
        <x:v>Lawful and defined purpose / purpose limitation</x:v>
      </x:c>
      <x:c r="C14" s="33" t="str">
        <x:v>C-GDPR-01</x:v>
      </x:c>
      <x:c r="D14" s="33" t="str">
        <x:v>Processes only general policy questions for the documented POC purpose; employee records and decisions are prohibited.</x:v>
      </x:c>
      <x:c r="E14" s="33" t="str">
        <x:v>02_use_case_and_scope.md; guardrails.py</x:v>
      </x:c>
      <x:c r="F14" s="33" t="str">
        <x:v>Scope review; prohibited-use tests</x:v>
      </x:c>
      <x:c r="G14" s="33" t="str">
        <x:v>Implemented</x:v>
      </x:c>
      <x:c r="H14" s="33" t="str">
        <x:v>https://commission.europa.eu/law/law-topic/data-protection/rules-business-and-organisations/principles-gdpr_en</x:v>
      </x:c>
    </x:row>
    <x:row r="15">
      <x:c r="A15" s="33" t="str">
        <x:v>GDPR</x:v>
      </x:c>
      <x:c r="B15" s="33" t="str">
        <x:v>Transparency</x:v>
      </x:c>
      <x:c r="C15" s="33" t="str">
        <x:v>C-02</x:v>
      </x:c>
      <x:c r="D15" s="33" t="str">
        <x:v>Provides a privacy notice explaining purpose, prohibited input, synthetic data, and human escalation.</x:v>
      </x:c>
      <x:c r="E15" s="33" t="str">
        <x:v>config.py; app.py; 20_user_notice.md</x:v>
      </x:c>
      <x:c r="F15" s="33" t="str">
        <x:v>Manual UI acceptance test</x:v>
      </x:c>
      <x:c r="G15" s="33" t="str">
        <x:v>Implemented</x:v>
      </x:c>
      <x:c r="H15" s="33" t="str">
        <x:v>https://commission.europa.eu/law/law-topic/data-protection_en</x:v>
      </x:c>
    </x:row>
    <x:row r="16">
      <x:c r="A16" s="33" t="str">
        <x:v>GDPR</x:v>
      </x:c>
      <x:c r="B16" s="33" t="str">
        <x:v>Data minimization</x:v>
      </x:c>
      <x:c r="C16" s="33" t="str">
        <x:v>C-04/C-13</x:v>
      </x:c>
      <x:c r="D16" s="33" t="str">
        <x:v>Detects common identifiers, blocks sensitive HR categories, and excludes raw questions and answers from normal audit records.</x:v>
      </x:c>
      <x:c r="E16" s="33" t="str">
        <x:v>guardrails.py; audit.py</x:v>
      </x:c>
      <x:c r="F16" s="33" t="str">
        <x:v>PII tests; audit test</x:v>
      </x:c>
      <x:c r="G16" s="33" t="str">
        <x:v>Implemented</x:v>
      </x:c>
      <x:c r="H16" s="33" t="str">
        <x:v>https://commission.europa.eu/law/law-topic/data-protection/rules-business-and-organisations/principles-gdpr_en</x:v>
      </x:c>
    </x:row>
    <x:row r="17">
      <x:c r="A17" s="33" t="str">
        <x:v>GDPR</x:v>
      </x:c>
      <x:c r="B17" s="33" t="str">
        <x:v>Accuracy</x:v>
      </x:c>
      <x:c r="C17" s="33" t="str">
        <x:v>C-08/C-09/C-10</x:v>
      </x:c>
      <x:c r="D17" s="33" t="str">
        <x:v>Retrieves only approved versioned policies; cites source metadata; escalates insufficient evidence instead of guessing.</x:v>
      </x:c>
      <x:c r="E17" s="33" t="str">
        <x:v>policy_search.py; response_builder.py</x:v>
      </x:c>
      <x:c r="F17" s="33" t="str">
        <x:v>Policy retrieval and unsupported-question tests</x:v>
      </x:c>
      <x:c r="G17" s="33" t="str">
        <x:v>Implemented</x:v>
      </x:c>
      <x:c r="H17" s="33" t="str">
        <x:v>https://commission.europa.eu/law/law-topic/data-protection/rules-business-and-organisations/principles-gdpr_en</x:v>
      </x:c>
    </x:row>
    <x:row r="18">
      <x:c r="A18" s="33" t="str">
        <x:v>GDPR</x:v>
      </x:c>
      <x:c r="B18" s="33" t="str">
        <x:v>Storage limitation</x:v>
      </x:c>
      <x:c r="C18" s="33" t="str">
        <x:v>C-GDPR-02</x:v>
      </x:c>
      <x:c r="D18" s="33" t="str">
        <x:v>Question is processed in memory; normal audit records exclude raw content; monitoring plan proposes justified short metadata retention.</x:v>
      </x:c>
      <x:c r="E18" s="33" t="str">
        <x:v>05_data_inventory_and_flow.md; 19_monitoring_plan.md</x:v>
      </x:c>
      <x:c r="F18" s="33" t="str">
        <x:v>Audit schema review</x:v>
      </x:c>
      <x:c r="G18" s="33" t="str">
        <x:v>Implemented</x:v>
      </x:c>
      <x:c r="H18" s="33" t="str">
        <x:v>https://commission.europa.eu/law/law-topic/data-protection/rules-business-and-organisations/principles-gdpr_en</x:v>
      </x:c>
    </x:row>
    <x:row r="19">
      <x:c r="A19" s="33" t="str">
        <x:v>GDPR</x:v>
      </x:c>
      <x:c r="B19" s="33" t="str">
        <x:v>Data protection by design and default</x:v>
      </x:c>
      <x:c r="C19" s="33" t="str">
        <x:v>C-GDPR-03</x:v>
      </x:c>
      <x:c r="D19" s="33" t="str">
        <x:v>Privacy guardrails execute before retrieval; no external API; synthetic data and minimal dependencies are the defaults.</x:v>
      </x:c>
      <x:c r="E19" s="33" t="str">
        <x:v>06_solution_architecture.md; guardrails.py</x:v>
      </x:c>
      <x:c r="F19" s="33" t="str">
        <x:v>Architecture review; tests</x:v>
      </x:c>
      <x:c r="G19" s="33" t="str">
        <x:v>Implemented</x:v>
      </x:c>
      <x:c r="H19" s="33" t="str">
        <x:v>https://commission.europa.eu/law/law-topic/data-protection/rules-business-and-organisations/obligations/what-does-data-protection-design-and-default-mean_en</x:v>
      </x:c>
    </x:row>
    <x:row r="20">
      <x:c r="A20" s="33" t="str">
        <x:v>GDPR</x:v>
      </x:c>
      <x:c r="B20" s="33" t="str">
        <x:v>DPIA / reassessment trigger</x:v>
      </x:c>
      <x:c r="C20" s="33" t="str">
        <x:v>C-GDPR-04</x:v>
      </x:c>
      <x:c r="D20" s="33" t="str">
        <x:v>Privacy assessment and scope-change triggers require reassessment before Claude, real employee data, profiling, decisions, integrations, or new jurisdictions.</x:v>
      </x:c>
      <x:c r="E20" s="33" t="str">
        <x:v>10_privacy_impact_assessment.md; 02_use_case_and_scope.md</x:v>
      </x:c>
      <x:c r="F20" s="33" t="str">
        <x:v>Governance review gate</x:v>
      </x:c>
      <x:c r="G20" s="33" t="str">
        <x:v>Implemented</x:v>
      </x:c>
      <x:c r="H20" s="33" t="str">
        <x:v>https://commission.europa.eu/law/law-topic/data-protection/rules-business-and-organisations/obligations/when-data-protection-impact-assessment-dpia-required_en</x:v>
      </x:c>
    </x:row>
    <x:row r="21">
      <x:c r="A21" s="33" t="str">
        <x:v>GDPR</x:v>
      </x:c>
      <x:c r="B21" s="33" t="str">
        <x:v>Automated decision safeguards</x:v>
      </x:c>
      <x:c r="C21" s="33" t="str">
        <x:v>C-06</x:v>
      </x:c>
      <x:c r="D21" s="33" t="str">
        <x:v>The system is informational only and cannot make or recommend significant employment decisions.</x:v>
      </x:c>
      <x:c r="E21" s="33" t="str">
        <x:v>guardrails.py; system card</x:v>
      </x:c>
      <x:c r="F21" s="33" t="str">
        <x:v>Decision tests</x:v>
      </x:c>
      <x:c r="G21" s="33" t="str">
        <x:v>Implemented</x:v>
      </x:c>
      <x:c r="H21" s="33" t="str">
        <x:v>https://commission.europa.eu/law/law-topic/data-protection_en</x:v>
      </x:c>
    </x:row>
    <x:row r="22">
      <x:c r="A22" s="33" t="str">
        <x:v>India DPDP</x:v>
      </x:c>
      <x:c r="B22" s="33" t="str">
        <x:v>Clear notice and specified purpose</x:v>
      </x:c>
      <x:c r="C22" s="33" t="str">
        <x:v>C-DPDP-01</x:v>
      </x:c>
      <x:c r="D22" s="33" t="str">
        <x:v>Displays a plain-language notice and limits use to general synthetic policy information.</x:v>
      </x:c>
      <x:c r="E22" s="33" t="str">
        <x:v>20_user_notice.md; app.py</x:v>
      </x:c>
      <x:c r="F22" s="33" t="str">
        <x:v>Manual UI acceptance test</x:v>
      </x:c>
      <x:c r="G22" s="33" t="str">
        <x:v>Implemented</x:v>
      </x:c>
      <x:c r="H22" s="33" t="str">
        <x:v>https://www.meity.gov.in/content/digital-personal-data-protection-act-2023</x:v>
      </x:c>
    </x:row>
    <x:row r="23">
      <x:c r="A23" s="33" t="str">
        <x:v>India DPDP</x:v>
      </x:c>
      <x:c r="B23" s="33" t="str">
        <x:v>Data minimization / necessary processing</x:v>
      </x:c>
      <x:c r="C23" s="33" t="str">
        <x:v>C-04/C-13</x:v>
      </x:c>
      <x:c r="D23" s="33" t="str">
        <x:v>Blocks common personal identifiers and sensitive employee matters; avoids raw-content logging.</x:v>
      </x:c>
      <x:c r="E23" s="33" t="str">
        <x:v>guardrails.py; audit.py</x:v>
      </x:c>
      <x:c r="F23" s="33" t="str">
        <x:v>PII and audit tests</x:v>
      </x:c>
      <x:c r="G23" s="33" t="str">
        <x:v>Implemented</x:v>
      </x:c>
      <x:c r="H23" s="33" t="str">
        <x:v>https://www.meity.gov.in/content/digital-personal-data-protection-act-2023</x:v>
      </x:c>
    </x:row>
    <x:row r="24">
      <x:c r="A24" s="33" t="str">
        <x:v>India DPDP</x:v>
      </x:c>
      <x:c r="B24" s="33" t="str">
        <x:v>Reasonable security safeguards</x:v>
      </x:c>
      <x:c r="C24" s="33" t="str">
        <x:v>C-DPDP-02</x:v>
      </x:c>
      <x:c r="D24" s="33" t="str">
        <x:v>No external processor in Stage 1, minimal dependencies, secret scanning, CI tests, prompt-injection detection, and approved-source validation.</x:v>
      </x:c>
      <x:c r="E24" s="33" t="str">
        <x:v>Architecture; .gitignore; GitHub Actions; guardrails.py</x:v>
      </x:c>
      <x:c r="F24" s="33" t="str">
        <x:v>Secret scan; pip-audit; CI</x:v>
      </x:c>
      <x:c r="G24" s="33" t="str">
        <x:v>Implemented</x:v>
      </x:c>
      <x:c r="H24" s="33" t="str">
        <x:v>https://www.meity.gov.in/documents/act-and-policies/digital-personal-data-protection-rules-2025-gDOxUjMtQWa?pageTitle=Digital-Personal-Data-Protection-Rules-2025</x:v>
      </x:c>
    </x:row>
    <x:row r="25">
      <x:c r="A25" s="33" t="str">
        <x:v>India DPDP</x:v>
      </x:c>
      <x:c r="B25" s="33" t="str">
        <x:v>Accuracy and source quality</x:v>
      </x:c>
      <x:c r="C25" s="33" t="str">
        <x:v>C-08/C-09</x:v>
      </x:c>
      <x:c r="D25" s="33" t="str">
        <x:v>Uses approved synthetic policies and source metadata; does not infer personalized facts.</x:v>
      </x:c>
      <x:c r="E25" s="33" t="str">
        <x:v>policy_search.py; policies/</x:v>
      </x:c>
      <x:c r="F25" s="33" t="str">
        <x:v>Approved-source and citation tests</x:v>
      </x:c>
      <x:c r="G25" s="33" t="str">
        <x:v>Implemented</x:v>
      </x:c>
      <x:c r="H25" s="33" t="str">
        <x:v>https://www.meity.gov.in/documents/act-and-policies/digital-personal-data-protection-rules-2025-gDOxUjMtQWa?pageTitle=Digital-Personal-Data-Protection-Rules-2025</x:v>
      </x:c>
    </x:row>
    <x:row r="26">
      <x:c r="A26" s="33" t="str">
        <x:v>India DPDP</x:v>
      </x:c>
      <x:c r="B26" s="33" t="str">
        <x:v>Correction and erasure readiness</x:v>
      </x:c>
      <x:c r="C26" s="33" t="str">
        <x:v>C-DPDP-03</x:v>
      </x:c>
      <x:c r="D26" s="33" t="str">
        <x:v>No raw question is retained; incident and deletion procedures are documented for future real-data use.</x:v>
      </x:c>
      <x:c r="E26" s="33" t="str">
        <x:v>10_privacy_impact_assessment.md; 17_incident_response.md</x:v>
      </x:c>
      <x:c r="F26" s="33" t="str">
        <x:v>Procedure review</x:v>
      </x:c>
      <x:c r="G26" s="33" t="str">
        <x:v>Implemented</x:v>
      </x:c>
      <x:c r="H26" s="33" t="str">
        <x:v>https://www.meity.gov.in/content/digital-personal-data-protection-act-2023</x:v>
      </x:c>
    </x:row>
    <x:row r="27">
      <x:c r="A27" s="33" t="str">
        <x:v>India DPDP</x:v>
      </x:c>
      <x:c r="B27" s="33" t="str">
        <x:v>Personal data breach response</x:v>
      </x:c>
      <x:c r="C27" s="33" t="str">
        <x:v>C-16</x:v>
      </x:c>
      <x:c r="D27" s="33" t="str">
        <x:v>Defined identification, containment, investigation, correction, notification decision, and closure steps.</x:v>
      </x:c>
      <x:c r="E27" s="33" t="str">
        <x:v>17_incident_response.md</x:v>
      </x:c>
      <x:c r="F27" s="33" t="str">
        <x:v>Incident tabletop review</x:v>
      </x:c>
      <x:c r="G27" s="33" t="str">
        <x:v>Implemented</x:v>
      </x:c>
      <x:c r="H27" s="33" t="str">
        <x:v>https://www.meity.gov.in/documents/act-and-policies/digital-personal-data-protection-rules-2025-gDOxUjMtQWa?pageTitle=Digital-Personal-Data-Protection-Rules-2025</x:v>
      </x:c>
    </x:row>
    <x:row r="28">
      <x:c r="A28" s="33" t="str">
        <x:v>India DPDP</x:v>
      </x:c>
      <x:c r="B28" s="33" t="str">
        <x:v>Grievance / human contact pathway</x:v>
      </x:c>
      <x:c r="C28" s="33" t="str">
        <x:v>C-15</x:v>
      </x:c>
      <x:c r="D28" s="33" t="str">
        <x:v>Blocked and unsupported questions direct the user to the approved HR channel; production would add privacy/grievance contact details.</x:v>
      </x:c>
      <x:c r="E28" s="33" t="str">
        <x:v>app.py; 20_user_notice.md</x:v>
      </x:c>
      <x:c r="F28" s="33" t="str">
        <x:v>Escalation tests</x:v>
      </x:c>
      <x:c r="G28" s="33" t="str">
        <x:v>Implemented</x:v>
      </x:c>
      <x:c r="H28" s="33" t="str">
        <x:v>https://www.meity.gov.in/documents/act-and-policies/digital-personal-data-protection-rules-2025-gDOxUjMtQWa?pageTitle=Digital-Personal-Data-Protection-Rules-2025</x:v>
      </x:c>
    </x:row>
    <x:row r="29">
      <x:c r="A29" s="33" t="str">
        <x:v>India DPDP</x:v>
      </x:c>
      <x:c r="B29" s="33" t="str">
        <x:v>Processor accountability for Stage 2</x:v>
      </x:c>
      <x:c r="C29" s="33" t="str">
        <x:v>C-DPDP-04</x:v>
      </x:c>
      <x:c r="D29" s="33" t="str">
        <x:v>No processor in Stage 1; Anthropic/Claude supplier, retention, transfer, security, incident, and contract review is a mandatory Stage 2 gate.</x:v>
      </x:c>
      <x:c r="E29" s="33" t="str">
        <x:v>22_supplier_assessment_stage2.md; 26_stage2_claude_roadmap.md</x:v>
      </x:c>
      <x:c r="F29" s="33" t="str">
        <x:v>Pre-Stage-2 approval checklist</x:v>
      </x:c>
      <x:c r="G29" s="33" t="str">
        <x:v>Planned</x:v>
      </x:c>
      <x:c r="H29" s="33" t="str">
        <x:v>https://www.meity.gov.in/content/digital-personal-data-protection-act-2023</x:v>
      </x:c>
    </x:row>
    <x:row r="30">
      <x:c r="A30" s="33" t="str">
        <x:v>ISO/IEC 42001</x:v>
      </x:c>
      <x:c r="B30" s="33" t="str">
        <x:v>Context, business need, and scope</x:v>
      </x:c>
      <x:c r="C30" s="33" t="str">
        <x:v>C-ISO-01</x:v>
      </x:c>
      <x:c r="D30" s="33" t="str">
        <x:v>Documented organization context, business problem, charter, intended use, exclusions, assumptions, and change triggers.</x:v>
      </x:c>
      <x:c r="E30" s="33" t="str">
        <x:v>Documents 00–02</x:v>
      </x:c>
      <x:c r="F30" s="33" t="str">
        <x:v>Management review</x:v>
      </x:c>
      <x:c r="G30" s="33" t="str">
        <x:v>Implemented</x:v>
      </x:c>
      <x:c r="H30" s="33" t="str">
        <x:v>https://www.iso.org/standard/42001</x:v>
      </x:c>
    </x:row>
    <x:row r="31">
      <x:c r="A31" s="33" t="str">
        <x:v>ISO/IEC 42001</x:v>
      </x:c>
      <x:c r="B31" s="33" t="str">
        <x:v>Leadership, roles, and accountability</x:v>
      </x:c>
      <x:c r="C31" s="33" t="str">
        <x:v>C-ISO-02</x:v>
      </x:c>
      <x:c r="D31" s="33" t="str">
        <x:v>Assigned business, HR, technical, privacy, security, and governance responsibilities through a RACI.</x:v>
      </x:c>
      <x:c r="E31" s="33" t="str">
        <x:v>03_stakeholders_and_raci.md</x:v>
      </x:c>
      <x:c r="F31" s="33" t="str">
        <x:v>RACI review</x:v>
      </x:c>
      <x:c r="G31" s="33" t="str">
        <x:v>Implemented</x:v>
      </x:c>
      <x:c r="H31" s="33" t="str">
        <x:v>https://www.iso.org/standard/42001</x:v>
      </x:c>
    </x:row>
    <x:row r="32">
      <x:c r="A32" s="33" t="str">
        <x:v>ISO/IEC 42001</x:v>
      </x:c>
      <x:c r="B32" s="33" t="str">
        <x:v>Planning, risks, and objectives</x:v>
      </x:c>
      <x:c r="C32" s="33" t="str">
        <x:v>C-ISO-03</x:v>
      </x:c>
      <x:c r="D32" s="33" t="str">
        <x:v>Created requirements, AI impact assessment, privacy assessment, risk register, treatment controls, and measurable targets.</x:v>
      </x:c>
      <x:c r="E32" s="33" t="str">
        <x:v>04, 09, 10, 12</x:v>
      </x:c>
      <x:c r="F32" s="33" t="str">
        <x:v>Risk and requirements review</x:v>
      </x:c>
      <x:c r="G32" s="33" t="str">
        <x:v>Implemented</x:v>
      </x:c>
      <x:c r="H32" s="33" t="str">
        <x:v>https://www.iso.org/standard/42001</x:v>
      </x:c>
    </x:row>
    <x:row r="33">
      <x:c r="A33" s="33" t="str">
        <x:v>ISO/IEC 42001</x:v>
      </x:c>
      <x:c r="B33" s="33" t="str">
        <x:v>Support, competence, and awareness</x:v>
      </x:c>
      <x:c r="C33" s="33" t="str">
        <x:v>C-ISO-04</x:v>
      </x:c>
      <x:c r="D33" s="33" t="str">
        <x:v>Created beginner guide, walkthrough, demo script, limitations, system card, and interview explanation.</x:v>
      </x:c>
      <x:c r="E33" s="33" t="str">
        <x:v>START_HERE.md; docs/; 21,24,25</x:v>
      </x:c>
      <x:c r="F33" s="33" t="str">
        <x:v>Documentation review</x:v>
      </x:c>
      <x:c r="G33" s="33" t="str">
        <x:v>Implemented</x:v>
      </x:c>
      <x:c r="H33" s="33" t="str">
        <x:v>https://www.iso.org/standard/42001</x:v>
      </x:c>
    </x:row>
    <x:row r="34">
      <x:c r="A34" s="33" t="str">
        <x:v>ISO/IEC 42001</x:v>
      </x:c>
      <x:c r="B34" s="33" t="str">
        <x:v>Operational controls and lifecycle</x:v>
      </x:c>
      <x:c r="C34" s="33" t="str">
        <x:v>C-ISO-05</x:v>
      </x:c>
      <x:c r="D34" s="33" t="str">
        <x:v>Implemented layered guardrails, approved-source retrieval, grounded response, citation, human escalation, minimized audit, change, incident, and retirement processes.</x:v>
      </x:c>
      <x:c r="E34" s="33" t="str">
        <x:v>Source code; 13,17,18,27</x:v>
      </x:c>
      <x:c r="F34" s="33" t="str">
        <x:v>Control tests and review</x:v>
      </x:c>
      <x:c r="G34" s="33" t="str">
        <x:v>Implemented</x:v>
      </x:c>
      <x:c r="H34" s="33" t="str">
        <x:v>https://www.iso.org/standard/42001</x:v>
      </x:c>
    </x:row>
    <x:row r="35">
      <x:c r="A35" s="33" t="str">
        <x:v>ISO/IEC 42001</x:v>
      </x:c>
      <x:c r="B35" s="33" t="str">
        <x:v>Performance evaluation</x:v>
      </x:c>
      <x:c r="C35" s="33" t="str">
        <x:v>C-ISO-06</x:v>
      </x:c>
      <x:c r="D35" s="33" t="str">
        <x:v>Uses 21 automated tests, GitHub Actions, smoke test, manual scenarios, monitoring metrics, and evidence reports.</x:v>
      </x:c>
      <x:c r="E35" s="33" t="str">
        <x:v>tests/; GitHub Actions; 14,15,19; test_report.md</x:v>
      </x:c>
      <x:c r="F35" s="33" t="str">
        <x:v>21 tests and CI checks</x:v>
      </x:c>
      <x:c r="G35" s="33" t="str">
        <x:v>Implemented</x:v>
      </x:c>
      <x:c r="H35" s="33" t="str">
        <x:v>https://www.iso.org/standard/42001</x:v>
      </x:c>
    </x:row>
    <x:row r="36">
      <x:c r="A36" s="33" t="str">
        <x:v>ISO/IEC 42001</x:v>
      </x:c>
      <x:c r="B36" s="33" t="str">
        <x:v>Nonconformity and continual improvement</x:v>
      </x:c>
      <x:c r="C36" s="33" t="str">
        <x:v>C-ISO-07</x:v>
      </x:c>
      <x:c r="D36" s="33" t="str">
        <x:v>Detected wrong-source parental-leave result, performed root-cause analysis, corrected retrieval, retested, added regression test, and updated evidence.</x:v>
      </x:c>
      <x:c r="E36" s="33" t="str">
        <x:v>policy_search.py; regression test; test_report.md</x:v>
      </x:c>
      <x:c r="F36" s="33" t="str">
        <x:v>Regression test passes</x:v>
      </x:c>
      <x:c r="G36" s="33" t="str">
        <x:v>Implemented</x:v>
      </x:c>
      <x:c r="H36" s="33" t="str">
        <x:v>https://www.iso.org/standard/42001</x:v>
      </x:c>
    </x:row>
    <x:row r="37">
      <x:c r="A37" s="33" t="str">
        <x:v>ISO/IEC 42001</x:v>
      </x:c>
      <x:c r="B37" s="33" t="str">
        <x:v>Supplier and model lifecycle management</x:v>
      </x:c>
      <x:c r="C37" s="33" t="str">
        <x:v>C-ISO-08</x:v>
      </x:c>
      <x:c r="D37" s="33" t="str">
        <x:v>Stage 2 requires supplier assessment, model/version record, data-flow update, secret management, evaluation, monitoring, incident, and exit plan before Claude activation.</x:v>
      </x:c>
      <x:c r="E37" s="33" t="str">
        <x:v>22_supplier_assessment_stage2.md; 26_stage2_claude_roadmap.md</x:v>
      </x:c>
      <x:c r="F37" s="33" t="str">
        <x:v>Stage 2 approval gate</x:v>
      </x:c>
      <x:c r="G37" s="33" t="str">
        <x:v>Planned</x:v>
      </x:c>
      <x:c r="H37" s="33" t="str">
        <x:v>https://www.iso.org/standard/42001</x:v>
      </x:c>
    </x:row>
  </x:sheetData>
  <x:mergeCells>
    <x:mergeCell ref="A1:H2"/>
    <x:mergeCell ref="A3:H3"/>
  </x:mergeCells>
  <x:conditionalFormatting sqref="G6:G37">
    <x:cfRule type="expression" dxfId="6" priority="1">
      <x:formula>G6="Implemented"</x:formula>
    </x:cfRule>
    <x:cfRule type="expression" dxfId="7" priority="2">
      <x:formula>G6="Planned"</x:formula>
    </x:cfRule>
  </x:conditionalFormatting>
  <x:dataValidations count="1">
    <x:dataValidation type="list" sqref="G6:G37">
      <x:formula1>"Implemented,Planned,In Progress,Gap"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f1aa264b2343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3" hidden="0" customWidth="1"/>
    <x:col min="3" max="3" width="33" hidden="0" customWidth="1"/>
    <x:col min="4" max="4" width="30" hidden="0" customWidth="1"/>
    <x:col min="5" max="5" width="31" hidden="0" customWidth="1"/>
    <x:col min="6" max="6" width="36" hidden="0" customWidth="1"/>
    <x:col min="7" max="7" width="10" hidden="0" customWidth="1"/>
    <x:col min="8" max="8" width="42" hidden="0" customWidth="1"/>
  </x:cols>
  <x:sheetData>
    <x:row r="1">
      <x:c r="A1" s="5" t="str">
        <x:v>Automated Test and Control Evidence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65" t="str">
        <x:v>Stage 1 result: 21 tests passed. Each test links a practical control to repeatable evidence.</x:v>
      </x:c>
      <x:c r="B3" s="65"/>
      <x:c r="C3" s="65"/>
      <x:c r="D3" s="65"/>
      <x:c r="E3" s="65"/>
      <x:c r="F3" s="65"/>
      <x:c r="G3" s="65"/>
      <x:c r="H3" s="65"/>
    </x:row>
    <x:row r="5">
      <x:c r="A5" s="38" t="str">
        <x:v>Test ID</x:v>
      </x:c>
      <x:c r="B5" s="38" t="str">
        <x:v>Automated Test Name</x:v>
      </x:c>
      <x:c r="C5" s="38" t="str">
        <x:v>Scenario</x:v>
      </x:c>
      <x:c r="D5" s="38" t="str">
        <x:v>Expected Control Result</x:v>
      </x:c>
      <x:c r="E5" s="38" t="str">
        <x:v>Primary Control</x:v>
      </x:c>
      <x:c r="F5" s="38" t="str">
        <x:v>Framework Theme</x:v>
      </x:c>
      <x:c r="G5" s="38" t="str">
        <x:v>Result</x:v>
      </x:c>
      <x:c r="H5" s="38" t="str">
        <x:v>Evidence / Notes</x:v>
      </x:c>
    </x:row>
    <x:row r="6">
      <x:c r="A6" s="33" t="str">
        <x:v>T-01</x:v>
      </x:c>
      <x:c r="B6" s="33" t="str">
        <x:v>test_allows_general_policy_question</x:v>
      </x:c>
      <x:c r="C6" s="33" t="str">
        <x:v>General approved policy question</x:v>
      </x:c>
      <x:c r="D6" s="33" t="str">
        <x:v>Allowed for retrieval</x:v>
      </x:c>
      <x:c r="E6" s="33" t="str">
        <x:v>Approved intended use</x:v>
      </x:c>
      <x:c r="F6" s="33" t="str">
        <x:v>Purpose limitation; controlled utility</x:v>
      </x:c>
      <x:c r="G6" s="33" t="str">
        <x:v>Pass</x:v>
      </x:c>
      <x:c r="H6" s="33" t="str">
        <x:v>Valid questions are not overblocked.</x:v>
      </x:c>
    </x:row>
    <x:row r="7">
      <x:c r="A7" s="33" t="str">
        <x:v>T-02</x:v>
      </x:c>
      <x:c r="B7" s="33" t="str">
        <x:v>test_limits_question_length</x:v>
      </x:c>
      <x:c r="C7" s="33" t="str">
        <x:v>Oversized question</x:v>
      </x:c>
      <x:c r="D7" s="33" t="str">
        <x:v>Blocked before retrieval</x:v>
      </x:c>
      <x:c r="E7" s="33" t="str">
        <x:v>Input validation</x:v>
      </x:c>
      <x:c r="F7" s="33" t="str">
        <x:v>Robustness and misuse prevention</x:v>
      </x:c>
      <x:c r="G7" s="33" t="str">
        <x:v>Pass</x:v>
      </x:c>
      <x:c r="H7" s="33" t="str">
        <x:v>Maximum input length enforced.</x:v>
      </x:c>
    </x:row>
    <x:row r="8">
      <x:c r="A8" s="33" t="str">
        <x:v>T-03</x:v>
      </x:c>
      <x:c r="B8" s="33" t="str">
        <x:v>test_blocks_email_address</x:v>
      </x:c>
      <x:c r="C8" s="33" t="str">
        <x:v>Email address in question</x:v>
      </x:c>
      <x:c r="D8" s="33" t="str">
        <x:v>Blocked</x:v>
      </x:c>
      <x:c r="E8" s="33" t="str">
        <x:v>Personal-data detection</x:v>
      </x:c>
      <x:c r="F8" s="33" t="str">
        <x:v>GDPR/DPDP data minimization</x:v>
      </x:c>
      <x:c r="G8" s="33" t="str">
        <x:v>Pass</x:v>
      </x:c>
      <x:c r="H8" s="33" t="str">
        <x:v>PII control triggers before retrieval.</x:v>
      </x:c>
    </x:row>
    <x:row r="9">
      <x:c r="A9" s="33" t="str">
        <x:v>T-04</x:v>
      </x:c>
      <x:c r="B9" s="33" t="str">
        <x:v>test_blocks_ssn</x:v>
      </x:c>
      <x:c r="C9" s="33" t="str">
        <x:v>Social Security number in question</x:v>
      </x:c>
      <x:c r="D9" s="33" t="str">
        <x:v>Blocked</x:v>
      </x:c>
      <x:c r="E9" s="33" t="str">
        <x:v>Personal-data detection</x:v>
      </x:c>
      <x:c r="F9" s="33" t="str">
        <x:v>GDPR/DPDP personal-data protection</x:v>
      </x:c>
      <x:c r="G9" s="33" t="str">
        <x:v>Pass</x:v>
      </x:c>
      <x:c r="H9" s="33" t="str">
        <x:v>Sensitive identifier rejected.</x:v>
      </x:c>
    </x:row>
    <x:row r="10">
      <x:c r="A10" s="33" t="str">
        <x:v>T-05</x:v>
      </x:c>
      <x:c r="B10" s="33" t="str">
        <x:v>test_blocks_salary</x:v>
      </x:c>
      <x:c r="C10" s="33" t="str">
        <x:v>Individual salary request</x:v>
      </x:c>
      <x:c r="D10" s="33" t="str">
        <x:v>Blocked</x:v>
      </x:c>
      <x:c r="E10" s="33" t="str">
        <x:v>Confidential HR category block</x:v>
      </x:c>
      <x:c r="F10" s="33" t="str">
        <x:v>Purpose limitation; confidentiality</x:v>
      </x:c>
      <x:c r="G10" s="33" t="str">
        <x:v>Pass</x:v>
      </x:c>
      <x:c r="H10" s="33" t="str">
        <x:v>No payroll/salary access.</x:v>
      </x:c>
    </x:row>
    <x:row r="11">
      <x:c r="A11" s="33" t="str">
        <x:v>T-06</x:v>
      </x:c>
      <x:c r="B11" s="33" t="str">
        <x:v>test_blocks_medical</x:v>
      </x:c>
      <x:c r="C11" s="33" t="str">
        <x:v>Medical/disability information request</x:v>
      </x:c>
      <x:c r="D11" s="33" t="str">
        <x:v>Blocked</x:v>
      </x:c>
      <x:c r="E11" s="33" t="str">
        <x:v>Sensitive HR category block</x:v>
      </x:c>
      <x:c r="F11" s="33" t="str">
        <x:v>Privacy and sensitive-data safeguards</x:v>
      </x:c>
      <x:c r="G11" s="33" t="str">
        <x:v>Pass</x:v>
      </x:c>
      <x:c r="H11" s="33" t="str">
        <x:v>No medical record processing.</x:v>
      </x:c>
    </x:row>
    <x:row r="12">
      <x:c r="A12" s="33" t="str">
        <x:v>T-07</x:v>
      </x:c>
      <x:c r="B12" s="33" t="str">
        <x:v>test_blocks_decision_request</x:v>
      </x:c>
      <x:c r="C12" s="33" t="str">
        <x:v>Employment decision request</x:v>
      </x:c>
      <x:c r="D12" s="33" t="str">
        <x:v>Blocked</x:v>
      </x:c>
      <x:c r="E12" s="33" t="str">
        <x:v>Employment-decision prohibition</x:v>
      </x:c>
      <x:c r="F12" s="33" t="str">
        <x:v>EU AI Act employment boundary; human oversight</x:v>
      </x:c>
      <x:c r="G12" s="33" t="str">
        <x:v>Pass</x:v>
      </x:c>
      <x:c r="H12" s="33" t="str">
        <x:v>No ranking/hiring/promotion/termination authority.</x:v>
      </x:c>
    </x:row>
    <x:row r="13">
      <x:c r="A13" s="33" t="str">
        <x:v>T-08</x:v>
      </x:c>
      <x:c r="B13" s="33" t="str">
        <x:v>test_blocks_prompt_injection</x:v>
      </x:c>
      <x:c r="C13" s="33" t="str">
        <x:v>Ignore instructions / reveal records</x:v>
      </x:c>
      <x:c r="D13" s="33" t="str">
        <x:v>Blocked</x:v>
      </x:c>
      <x:c r="E13" s="33" t="str">
        <x:v>Prompt-injection detection</x:v>
      </x:c>
      <x:c r="F13" s="33" t="str">
        <x:v>Robustness and cybersecurity</x:v>
      </x:c>
      <x:c r="G13" s="33" t="str">
        <x:v>Pass</x:v>
      </x:c>
      <x:c r="H13" s="33" t="str">
        <x:v>Instruction override attempt rejected.</x:v>
      </x:c>
    </x:row>
    <x:row r="14">
      <x:c r="A14" s="33" t="str">
        <x:v>T-09</x:v>
      </x:c>
      <x:c r="B14" s="33" t="str">
        <x:v>test_confidential_hr_categories_are_blocked</x:v>
      </x:c>
      <x:c r="C14" s="33" t="str">
        <x:v>Performance, complaint, discipline, investigation</x:v>
      </x:c>
      <x:c r="D14" s="33" t="str">
        <x:v>Blocked</x:v>
      </x:c>
      <x:c r="E14" s="33" t="str">
        <x:v>Confidential HR category block</x:v>
      </x:c>
      <x:c r="F14" s="33" t="str">
        <x:v>GDPR/DPDP minimization and confidentiality</x:v>
      </x:c>
      <x:c r="G14" s="33" t="str">
        <x:v>Pass</x:v>
      </x:c>
      <x:c r="H14" s="33" t="str">
        <x:v>Sensitive HR categories consistently blocked.</x:v>
      </x:c>
    </x:row>
    <x:row r="15">
      <x:c r="A15" s="33" t="str">
        <x:v>T-10</x:v>
      </x:c>
      <x:c r="B15" s="33" t="str">
        <x:v>test_no_automated_employment_decision</x:v>
      </x:c>
      <x:c r="C15" s="33" t="str">
        <x:v>Hiring, ranking, promotion, termination, prediction</x:v>
      </x:c>
      <x:c r="D15" s="33" t="str">
        <x:v>Blocked</x:v>
      </x:c>
      <x:c r="E15" s="33" t="str">
        <x:v>No automated employment decision</x:v>
      </x:c>
      <x:c r="F15" s="33" t="str">
        <x:v>EU AI Act and GDPR human oversight</x:v>
      </x:c>
      <x:c r="G15" s="33" t="str">
        <x:v>Pass</x:v>
      </x:c>
      <x:c r="H15" s="33" t="str">
        <x:v>Decision authority remains with humans.</x:v>
      </x:c>
    </x:row>
    <x:row r="16">
      <x:c r="A16" s="33" t="str">
        <x:v>T-11</x:v>
      </x:c>
      <x:c r="B16" s="33" t="str">
        <x:v>test_loads_only_approved_synthetic_policies</x:v>
      </x:c>
      <x:c r="C16" s="33" t="str">
        <x:v>Policy loader encounters documents</x:v>
      </x:c>
      <x:c r="D16" s="33" t="str">
        <x:v>Only approved synthetic sources loaded</x:v>
      </x:c>
      <x:c r="E16" s="33" t="str">
        <x:v>Approved-source gate</x:v>
      </x:c>
      <x:c r="F16" s="33" t="str">
        <x:v>Data quality; privacy by design</x:v>
      </x:c>
      <x:c r="G16" s="33" t="str">
        <x:v>Pass</x:v>
      </x:c>
      <x:c r="H16" s="33" t="str">
        <x:v>Prevents draft/confidential/unapproved sources.</x:v>
      </x:c>
    </x:row>
    <x:row r="17">
      <x:c r="A17" s="33" t="str">
        <x:v>T-12</x:v>
      </x:c>
      <x:c r="B17" s="33" t="str">
        <x:v>test_vacation_question_retrieves_leave_policy</x:v>
      </x:c>
      <x:c r="C17" s="33" t="str">
        <x:v>Vacation entitlement question</x:v>
      </x:c>
      <x:c r="D17" s="33" t="str">
        <x:v>Leave policy returned</x:v>
      </x:c>
      <x:c r="E17" s="33" t="str">
        <x:v>Approved-source retrieval</x:v>
      </x:c>
      <x:c r="F17" s="33" t="str">
        <x:v>Accuracy and traceability</x:v>
      </x:c>
      <x:c r="G17" s="33" t="str">
        <x:v>Pass</x:v>
      </x:c>
      <x:c r="H17" s="33" t="str">
        <x:v>Correct source selected.</x:v>
      </x:c>
    </x:row>
    <x:row r="18">
      <x:c r="A18" s="33" t="str">
        <x:v>T-13</x:v>
      </x:c>
      <x:c r="B18" s="33" t="str">
        <x:v>test_remote_question_retrieves_remote_policy</x:v>
      </x:c>
      <x:c r="C18" s="33" t="str">
        <x:v>Remote-work request question</x:v>
      </x:c>
      <x:c r="D18" s="33" t="str">
        <x:v>Remote-work policy returned</x:v>
      </x:c>
      <x:c r="E18" s="33" t="str">
        <x:v>Approved-source retrieval</x:v>
      </x:c>
      <x:c r="F18" s="33" t="str">
        <x:v>Accuracy and traceability</x:v>
      </x:c>
      <x:c r="G18" s="33" t="str">
        <x:v>Pass</x:v>
      </x:c>
      <x:c r="H18" s="33" t="str">
        <x:v>Correct source selected.</x:v>
      </x:c>
    </x:row>
    <x:row r="19">
      <x:c r="A19" s="33" t="str">
        <x:v>T-14</x:v>
      </x:c>
      <x:c r="B19" s="33" t="str">
        <x:v>test_expense_question_retrieves_expense_policy</x:v>
      </x:c>
      <x:c r="C19" s="33" t="str">
        <x:v>Expense deadline question</x:v>
      </x:c>
      <x:c r="D19" s="33" t="str">
        <x:v>Expense policy returned</x:v>
      </x:c>
      <x:c r="E19" s="33" t="str">
        <x:v>Approved-source retrieval</x:v>
      </x:c>
      <x:c r="F19" s="33" t="str">
        <x:v>Accuracy and traceability</x:v>
      </x:c>
      <x:c r="G19" s="33" t="str">
        <x:v>Pass</x:v>
      </x:c>
      <x:c r="H19" s="33" t="str">
        <x:v>Correct source selected.</x:v>
      </x:c>
    </x:row>
    <x:row r="20">
      <x:c r="A20" s="33" t="str">
        <x:v>T-15</x:v>
      </x:c>
      <x:c r="B20" s="33" t="str">
        <x:v>test_source_has_traceability_metadata</x:v>
      </x:c>
      <x:c r="C20" s="33" t="str">
        <x:v>Retrieved source metadata</x:v>
      </x:c>
      <x:c r="D20" s="33" t="str">
        <x:v>Title, section, version present</x:v>
      </x:c>
      <x:c r="E20" s="33" t="str">
        <x:v>Source traceability</x:v>
      </x:c>
      <x:c r="F20" s="33" t="str">
        <x:v>Transparency and record keeping</x:v>
      </x:c>
      <x:c r="G20" s="33" t="str">
        <x:v>Pass</x:v>
      </x:c>
      <x:c r="H20" s="33" t="str">
        <x:v>Policy answer is reviewable.</x:v>
      </x:c>
    </x:row>
    <x:row r="21">
      <x:c r="A21" s="33" t="str">
        <x:v>T-16</x:v>
      </x:c>
      <x:c r="B21" s="33" t="str">
        <x:v>test_answer_has_source</x:v>
      </x:c>
      <x:c r="C21" s="33" t="str">
        <x:v>Answer response created</x:v>
      </x:c>
      <x:c r="D21" s="33" t="str">
        <x:v>Source included</x:v>
      </x:c>
      <x:c r="E21" s="33" t="str">
        <x:v>Grounded response and citation</x:v>
      </x:c>
      <x:c r="F21" s="33" t="str">
        <x:v>Accuracy and transparency</x:v>
      </x:c>
      <x:c r="G21" s="33" t="str">
        <x:v>Pass</x:v>
      </x:c>
      <x:c r="H21" s="33" t="str">
        <x:v>No uncited answered response.</x:v>
      </x:c>
    </x:row>
    <x:row r="22">
      <x:c r="A22" s="33" t="str">
        <x:v>T-17</x:v>
      </x:c>
      <x:c r="B22" s="33" t="str">
        <x:v>test_response_is_extractive</x:v>
      </x:c>
      <x:c r="C22" s="33" t="str">
        <x:v>Answer creation</x:v>
      </x:c>
      <x:c r="D22" s="33" t="str">
        <x:v>Response uses approved policy text</x:v>
      </x:c>
      <x:c r="E22" s="33" t="str">
        <x:v>Extractive response</x:v>
      </x:c>
      <x:c r="F22" s="33" t="str">
        <x:v>Accuracy and hallucination reduction</x:v>
      </x:c>
      <x:c r="G22" s="33" t="str">
        <x:v>Pass</x:v>
      </x:c>
      <x:c r="H22" s="33" t="str">
        <x:v>Stage 1 does not invent policy.</x:v>
      </x:c>
    </x:row>
    <x:row r="23">
      <x:c r="A23" s="33" t="str">
        <x:v>T-18</x:v>
      </x:c>
      <x:c r="B23" s="33" t="str">
        <x:v>test_human_escalation_for_missing_policy</x:v>
      </x:c>
      <x:c r="C23" s="33" t="str">
        <x:v>Question outside knowledge base</x:v>
      </x:c>
      <x:c r="D23" s="33" t="str">
        <x:v>Escalate to HR</x:v>
      </x:c>
      <x:c r="E23" s="33" t="str">
        <x:v>Human escalation</x:v>
      </x:c>
      <x:c r="F23" s="33" t="str">
        <x:v>Controlled failure and oversight</x:v>
      </x:c>
      <x:c r="G23" s="33" t="str">
        <x:v>Pass</x:v>
      </x:c>
      <x:c r="H23" s="33" t="str">
        <x:v>No guess when evidence is absent.</x:v>
      </x:c>
    </x:row>
    <x:row r="24">
      <x:c r="A24" s="33" t="str">
        <x:v>T-19</x:v>
      </x:c>
      <x:c r="B24" s="33" t="str">
        <x:v>test_unsupported_question_escalates</x:v>
      </x:c>
      <x:c r="C24" s="33" t="str">
        <x:v>Unsupported policy question</x:v>
      </x:c>
      <x:c r="D24" s="33" t="str">
        <x:v>Escalate with no source</x:v>
      </x:c>
      <x:c r="E24" s="33" t="str">
        <x:v>Minimum evidence threshold</x:v>
      </x:c>
      <x:c r="F24" s="33" t="str">
        <x:v>Accuracy and human oversight</x:v>
      </x:c>
      <x:c r="G24" s="33" t="str">
        <x:v>Pass</x:v>
      </x:c>
      <x:c r="H24" s="33" t="str">
        <x:v>Weak retrieval does not produce an answer.</x:v>
      </x:c>
    </x:row>
    <x:row r="25">
      <x:c r="A25" s="33" t="str">
        <x:v>T-20</x:v>
      </x:c>
      <x:c r="B25" s="33" t="str">
        <x:v>test_log_excludes_raw_question_and_answer</x:v>
      </x:c>
      <x:c r="C25" s="33" t="str">
        <x:v>Audit event created</x:v>
      </x:c>
      <x:c r="D25" s="33" t="str">
        <x:v>No raw question or answer stored</x:v>
      </x:c>
      <x:c r="E25" s="33" t="str">
        <x:v>Privacy-minimized audit</x:v>
      </x:c>
      <x:c r="F25" s="33" t="str">
        <x:v>GDPR/DPDP minimization and storage limitation</x:v>
      </x:c>
      <x:c r="G25" s="33" t="str">
        <x:v>Pass</x:v>
      </x:c>
      <x:c r="H25" s="33" t="str">
        <x:v>Only operational metadata retained.</x:v>
      </x:c>
    </x:row>
    <x:row r="26">
      <x:c r="A26" s="33" t="str">
        <x:v>T-21</x:v>
      </x:c>
      <x:c r="B26" s="33" t="str">
        <x:v>test_company_parental_leave_question_escalates</x:v>
      </x:c>
      <x:c r="C26" s="33" t="str">
        <x:v>Exact parental-leave regression scenario</x:v>
      </x:c>
      <x:c r="D26" s="33" t="str">
        <x:v>Escalate to HR; blank source</x:v>
      </x:c>
      <x:c r="E26" s="33" t="str">
        <x:v>Corrective action and regression control</x:v>
      </x:c>
      <x:c r="F26" s="33" t="str">
        <x:v>ISO 42001 continual improvement</x:v>
      </x:c>
      <x:c r="G26" s="33" t="str">
        <x:v>Pass</x:v>
      </x:c>
      <x:c r="H26" s="33" t="str">
        <x:v>Permanent test prevents recurrence of wrong-source defect.</x:v>
      </x:c>
    </x:row>
  </x:sheetData>
  <x:mergeCells>
    <x:mergeCell ref="A1:H2"/>
    <x:mergeCell ref="A3:H3"/>
  </x:mergeCells>
  <x:conditionalFormatting sqref="G6:G26">
    <x:cfRule type="expression" dxfId="8" priority="1">
      <x:formula>G6="Pass"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887178e90041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9" hidden="0" customWidth="1"/>
    <x:col min="6" max="6" width="24" hidden="0" customWidth="1"/>
    <x:col min="7" max="7" width="18" hidden="0" customWidth="1"/>
    <x:col min="8" max="8" width="18" hidden="0" customWidth="1"/>
    <x:col min="9" max="9" width="20" hidden="0" customWidth="1"/>
    <x:col min="10" max="10" width="22" hidden="0" customWidth="1"/>
  </x:cols>
  <x:sheetData>
    <x:row r="1">
      <x:c r="A1" s="5" t="str">
        <x:v>4D × 4S Governance Dashboard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48" t="str">
        <x:v>Formula-driven summary of Stage 1 implementation status, lifecycle progress, governance coverage, and test evidence.</x:v>
      </x:c>
      <x:c r="B3" s="48"/>
      <x:c r="C3" s="48"/>
      <x:c r="D3" s="48"/>
      <x:c r="E3" s="48"/>
      <x:c r="F3" s="48"/>
      <x:c r="G3" s="48"/>
      <x:c r="H3" s="48"/>
      <x:c r="I3" s="48"/>
      <x:c r="J3" s="48"/>
    </x:row>
    <x:row r="5">
      <x:c r="A5" s="38" t="str">
        <x:v>Total Activities</x:v>
      </x:c>
      <x:c r="B5" s="38" t="str">
        <x:v>Completed</x:v>
      </x:c>
      <x:c r="C5" s="38" t="str">
        <x:v>Ongoing</x:v>
      </x:c>
      <x:c r="D5" s="38" t="str">
        <x:v>Planned</x:v>
      </x:c>
      <x:c r="E5" s="38" t="str">
        <x:v>Overall Progress</x:v>
      </x:c>
      <x:c r="G5" s="38" t="str">
        <x:v>Tests Passed</x:v>
      </x:c>
      <x:c r="H5" s="38" t="str">
        <x:v>Regulatory Frameworks</x:v>
      </x:c>
      <x:c r="I5" s="38" t="str">
        <x:v>Public Demo</x:v>
      </x:c>
      <x:c r="J5" s="38" t="str">
        <x:v>External LLM</x:v>
      </x:c>
    </x:row>
    <x:row r="6" ht="34" customHeight="1">
      <x:c r="A6" s="75" t="n">
        <x:f>COUNTA('Implementation Tracker'!A6:A52)</x:f>
        <x:v>47</x:v>
      </x:c>
      <x:c r="B6" s="75" t="n">
        <x:f>COUNTIF('Implementation Tracker'!K6:K52,"Complete")</x:f>
        <x:v>45</x:v>
      </x:c>
      <x:c r="C6" s="75" t="n">
        <x:f>COUNTIF('Implementation Tracker'!K6:K52,"Ongoing")</x:f>
        <x:v>1</x:v>
      </x:c>
      <x:c r="D6" s="75" t="n">
        <x:f>COUNTIF('Implementation Tracker'!K6:K52,"Planned")</x:f>
        <x:v>1</x:v>
      </x:c>
      <x:c r="E6" s="76" t="n">
        <x:f>AVERAGE('Implementation Tracker'!M6:M52)</x:f>
        <x:v>0.973404255319149</x:v>
      </x:c>
      <x:c r="G6" s="87" t="n">
        <x:f>COUNTIF('Test Evidence'!G6:G26,"Pass")</x:f>
        <x:v>21</x:v>
      </x:c>
      <x:c r="H6" s="87" t="n">
        <x:v>4</x:v>
      </x:c>
      <x:c r="I6" s="87" t="str">
        <x:v>Deployed</x:v>
      </x:c>
      <x:c r="J6" s="87" t="str">
        <x:v>None — Stage 1</x:v>
      </x:c>
    </x:row>
    <x:row r="9">
      <x:c r="A9" s="19" t="str">
        <x:v>Progress by 4D Lifecycle Stage</x:v>
      </x:c>
      <x:c r="B9" s="19"/>
      <x:c r="C9" s="19"/>
      <x:c r="D9" s="19"/>
      <x:c r="F9" s="19" t="str">
        <x:v>Progress by 4S Governance Pillar</x:v>
      </x:c>
      <x:c r="G9" s="19"/>
      <x:c r="H9" s="19"/>
      <x:c r="I9" s="19"/>
    </x:row>
    <x:row r="10">
      <x:c r="A10" s="38" t="str">
        <x:v>4D Stage</x:v>
      </x:c>
      <x:c r="B10" s="38" t="str">
        <x:v>Activities</x:v>
      </x:c>
      <x:c r="C10" s="38" t="str">
        <x:v>Completed</x:v>
      </x:c>
      <x:c r="D10" s="38" t="str">
        <x:v>Progress %</x:v>
      </x:c>
      <x:c r="F10" s="38" t="str">
        <x:v>4S Pillar</x:v>
      </x:c>
      <x:c r="G10" s="38" t="str">
        <x:v>Activities</x:v>
      </x:c>
      <x:c r="H10" s="38" t="str">
        <x:v>Completed</x:v>
      </x:c>
      <x:c r="I10" s="38" t="str">
        <x:v>Progress %</x:v>
      </x:c>
    </x:row>
    <x:row r="11">
      <x:c r="A11" s="29" t="str">
        <x:v>Discover</x:v>
      </x:c>
      <x:c r="B11" s="29" t="n">
        <x:f>COUNTIF('Implementation Tracker'!B6:B52,A11)</x:f>
        <x:v>7</x:v>
      </x:c>
      <x:c r="C11" s="29" t="n">
        <x:f>COUNTIFS('Implementation Tracker'!B6:B52,A11,'Implementation Tracker'!K6:K52,"Complete")</x:f>
        <x:v>7</x:v>
      </x:c>
      <x:c r="D11" s="53" t="n">
        <x:f>AVERAGEIF('Implementation Tracker'!B6:B52,A11,'Implementation Tracker'!M6:M52)</x:f>
        <x:v>1</x:v>
      </x:c>
      <x:c r="F11" s="42" t="str">
        <x:v>Strategy</x:v>
      </x:c>
      <x:c r="G11" s="42" t="n">
        <x:f>COUNTIF('Implementation Tracker'!C6:C52,F11)</x:f>
        <x:v>7</x:v>
      </x:c>
      <x:c r="H11" s="42" t="n">
        <x:f>COUNTIFS('Implementation Tracker'!C6:C52,F11,'Implementation Tracker'!K6:K52,"Complete")</x:f>
        <x:v>6</x:v>
      </x:c>
      <x:c r="I11" s="51" t="n">
        <x:f>AVERAGEIF('Implementation Tracker'!C6:C52,F11,'Implementation Tracker'!M6:M52)</x:f>
        <x:v>0.8571428571428571</x:v>
      </x:c>
    </x:row>
    <x:row r="12">
      <x:c r="A12" s="29" t="str">
        <x:v>Define</x:v>
      </x:c>
      <x:c r="B12" s="29" t="n">
        <x:f>COUNTIF('Implementation Tracker'!B6:B52,A12)</x:f>
        <x:v>11</x:v>
      </x:c>
      <x:c r="C12" s="29" t="n">
        <x:f>COUNTIFS('Implementation Tracker'!B6:B52,A12,'Implementation Tracker'!K6:K52,"Complete")</x:f>
        <x:v>11</x:v>
      </x:c>
      <x:c r="D12" s="53" t="n">
        <x:f>AVERAGEIF('Implementation Tracker'!B6:B52,A12,'Implementation Tracker'!M6:M52)</x:f>
        <x:v>1</x:v>
      </x:c>
      <x:c r="F12" s="42" t="str">
        <x:v>Scope</x:v>
      </x:c>
      <x:c r="G12" s="42" t="n">
        <x:f>COUNTIF('Implementation Tracker'!C6:C52,F12)</x:f>
        <x:v>8</x:v>
      </x:c>
      <x:c r="H12" s="42" t="n">
        <x:f>COUNTIFS('Implementation Tracker'!C6:C52,F12,'Implementation Tracker'!K6:K52,"Complete")</x:f>
        <x:v>8</x:v>
      </x:c>
      <x:c r="I12" s="51" t="n">
        <x:f>AVERAGEIF('Implementation Tracker'!C6:C52,F12,'Implementation Tracker'!M6:M52)</x:f>
        <x:v>1</x:v>
      </x:c>
    </x:row>
    <x:row r="13">
      <x:c r="A13" s="29" t="str">
        <x:v>Design</x:v>
      </x:c>
      <x:c r="B13" s="29" t="n">
        <x:f>COUNTIF('Implementation Tracker'!B6:B52,A13)</x:f>
        <x:v>16</x:v>
      </x:c>
      <x:c r="C13" s="29" t="n">
        <x:f>COUNTIFS('Implementation Tracker'!B6:B52,A13,'Implementation Tracker'!K6:K52,"Complete")</x:f>
        <x:v>16</x:v>
      </x:c>
      <x:c r="D13" s="53" t="n">
        <x:f>AVERAGEIF('Implementation Tracker'!B6:B52,A13,'Implementation Tracker'!M6:M52)</x:f>
        <x:v>1</x:v>
      </x:c>
      <x:c r="F13" s="42" t="str">
        <x:v>Safeguards</x:v>
      </x:c>
      <x:c r="G13" s="42" t="n">
        <x:f>COUNTIF('Implementation Tracker'!C6:C52,F13)</x:f>
        <x:v>24</x:v>
      </x:c>
      <x:c r="H13" s="42" t="n">
        <x:f>COUNTIFS('Implementation Tracker'!C6:C52,F13,'Implementation Tracker'!K6:K52,"Complete")</x:f>
        <x:v>24</x:v>
      </x:c>
      <x:c r="I13" s="51" t="n">
        <x:f>AVERAGEIF('Implementation Tracker'!C6:C52,F13,'Implementation Tracker'!M6:M52)</x:f>
        <x:v>1</x:v>
      </x:c>
    </x:row>
    <x:row r="14">
      <x:c r="A14" s="29" t="str">
        <x:v>Deliver</x:v>
      </x:c>
      <x:c r="B14" s="29" t="n">
        <x:f>COUNTIF('Implementation Tracker'!B6:B52,A14)</x:f>
        <x:v>13</x:v>
      </x:c>
      <x:c r="C14" s="29" t="n">
        <x:f>COUNTIFS('Implementation Tracker'!B6:B52,A14,'Implementation Tracker'!K6:K52,"Complete")</x:f>
        <x:v>11</x:v>
      </x:c>
      <x:c r="D14" s="53" t="n">
        <x:f>AVERAGEIF('Implementation Tracker'!B6:B52,A14,'Implementation Tracker'!M6:M52)</x:f>
        <x:v>0.9038461538461539</x:v>
      </x:c>
      <x:c r="F14" s="42" t="str">
        <x:v>Success</x:v>
      </x:c>
      <x:c r="G14" s="42" t="n">
        <x:f>COUNTIF('Implementation Tracker'!C6:C52,F14)</x:f>
        <x:v>8</x:v>
      </x:c>
      <x:c r="H14" s="42" t="n">
        <x:f>COUNTIFS('Implementation Tracker'!C6:C52,F14,'Implementation Tracker'!K6:K52,"Complete")</x:f>
        <x:v>7</x:v>
      </x:c>
      <x:c r="I14" s="51" t="n">
        <x:f>AVERAGEIF('Implementation Tracker'!C6:C52,F14,'Implementation Tracker'!M6:M52)</x:f>
        <x:v>0.96875</x:v>
      </x:c>
    </x:row>
    <x:row r="17">
      <x:c r="A17" s="19" t="str">
        <x:v>Regulatory / Management-System Coverage</x:v>
      </x:c>
      <x:c r="B17" s="19"/>
      <x:c r="C17" s="19"/>
      <x:c r="D17" s="19"/>
      <x:c r="F17" s="19" t="str">
        <x:v>Public Release Readiness</x:v>
      </x:c>
      <x:c r="G17" s="19"/>
      <x:c r="H17" s="19"/>
      <x:c r="I17" s="19"/>
      <x:c r="J17" s="19"/>
    </x:row>
    <x:row r="18">
      <x:c r="A18" s="38" t="str">
        <x:v>Framework</x:v>
      </x:c>
      <x:c r="B18" s="38" t="str">
        <x:v>Mapped Controls</x:v>
      </x:c>
      <x:c r="C18" s="38" t="str">
        <x:v>Implemented</x:v>
      </x:c>
      <x:c r="D18" s="38" t="str">
        <x:v>Planned</x:v>
      </x:c>
      <x:c r="F18" s="38" t="str">
        <x:v>Check</x:v>
      </x:c>
      <x:c r="G18" s="38" t="str">
        <x:v>Result</x:v>
      </x:c>
      <x:c r="H18" s="38" t="str">
        <x:v>Evidence</x:v>
      </x:c>
      <x:c r="I18" s="38" t="str">
        <x:v>Risk if Missing</x:v>
      </x:c>
      <x:c r="J18" s="38" t="str">
        <x:v>Status</x:v>
      </x:c>
    </x:row>
    <x:row r="19">
      <x:c r="A19" s="42" t="str">
        <x:v>EU AI Act</x:v>
      </x:c>
      <x:c r="B19" s="42" t="n">
        <x:f>COUNTIF('Regulatory Traceability'!A6:A37,A19)</x:f>
        <x:v>8</x:v>
      </x:c>
      <x:c r="C19" s="42" t="n">
        <x:f>COUNTIFS('Regulatory Traceability'!A6:A37,A19,'Regulatory Traceability'!G6:G37,"Implemented")</x:f>
        <x:v>8</x:v>
      </x:c>
      <x:c r="D19" s="42" t="n">
        <x:f>COUNTIFS('Regulatory Traceability'!A6:A37,A19,'Regulatory Traceability'!G6:G37,"Planned")</x:f>
        <x:v>0</x:v>
      </x:c>
      <x:c r="F19" s="29" t="str">
        <x:v>Automated control tests</x:v>
      </x:c>
      <x:c r="G19" s="29" t="str">
        <x:v>21 passed</x:v>
      </x:c>
      <x:c r="H19" s="29" t="str">
        <x:v>Test Evidence sheet / GitHub Actions</x:v>
      </x:c>
      <x:c r="I19" s="29" t="str">
        <x:v>Broken or unverified safeguards</x:v>
      </x:c>
      <x:c r="J19" s="29" t="str">
        <x:v>Ready</x:v>
      </x:c>
    </x:row>
    <x:row r="20">
      <x:c r="A20" s="42" t="str">
        <x:v>GDPR</x:v>
      </x:c>
      <x:c r="B20" s="42" t="n">
        <x:f>COUNTIF('Regulatory Traceability'!A6:A37,A20)</x:f>
        <x:v>8</x:v>
      </x:c>
      <x:c r="C20" s="42" t="n">
        <x:f>COUNTIFS('Regulatory Traceability'!A6:A37,A20,'Regulatory Traceability'!G6:G37,"Implemented")</x:f>
        <x:v>8</x:v>
      </x:c>
      <x:c r="D20" s="42" t="n">
        <x:f>COUNTIFS('Regulatory Traceability'!A6:A37,A20,'Regulatory Traceability'!G6:G37,"Planned")</x:f>
        <x:v>0</x:v>
      </x:c>
      <x:c r="F20" s="29" t="str">
        <x:v>Application smoke test</x:v>
      </x:c>
      <x:c r="G20" s="29" t="str">
        <x:v>Passed</x:v>
      </x:c>
      <x:c r="H20" s="29" t="str">
        <x:v>GitHub Actions health check</x:v>
      </x:c>
      <x:c r="I20" s="29" t="str">
        <x:v>App may not start after changes</x:v>
      </x:c>
      <x:c r="J20" s="29" t="str">
        <x:v>Ready</x:v>
      </x:c>
    </x:row>
    <x:row r="21">
      <x:c r="A21" s="42" t="str">
        <x:v>India DPDP</x:v>
      </x:c>
      <x:c r="B21" s="42" t="n">
        <x:f>COUNTIF('Regulatory Traceability'!A6:A37,A21)</x:f>
        <x:v>8</x:v>
      </x:c>
      <x:c r="C21" s="42" t="n">
        <x:f>COUNTIFS('Regulatory Traceability'!A6:A37,A21,'Regulatory Traceability'!G6:G37,"Implemented")</x:f>
        <x:v>7</x:v>
      </x:c>
      <x:c r="D21" s="42" t="n">
        <x:f>COUNTIFS('Regulatory Traceability'!A6:A37,A21,'Regulatory Traceability'!G6:G37,"Planned")</x:f>
        <x:v>1</x:v>
      </x:c>
      <x:c r="F21" s="29" t="str">
        <x:v>Dependency vulnerability scan</x:v>
      </x:c>
      <x:c r="G21" s="29" t="str">
        <x:v>No known vulnerabilities</x:v>
      </x:c>
      <x:c r="H21" s="29" t="str">
        <x:v>dependency_security_scan.txt</x:v>
      </x:c>
      <x:c r="I21" s="29" t="str">
        <x:v>Known vulnerable package exposure</x:v>
      </x:c>
      <x:c r="J21" s="29" t="str">
        <x:v>Ready</x:v>
      </x:c>
    </x:row>
    <x:row r="22">
      <x:c r="A22" s="42" t="str">
        <x:v>ISO/IEC 42001</x:v>
      </x:c>
      <x:c r="B22" s="42" t="n">
        <x:f>COUNTIF('Regulatory Traceability'!A6:A37,A22)</x:f>
        <x:v>8</x:v>
      </x:c>
      <x:c r="C22" s="42" t="n">
        <x:f>COUNTIFS('Regulatory Traceability'!A6:A37,A22,'Regulatory Traceability'!G6:G37,"Implemented")</x:f>
        <x:v>7</x:v>
      </x:c>
      <x:c r="D22" s="42" t="n">
        <x:f>COUNTIFS('Regulatory Traceability'!A6:A37,A22,'Regulatory Traceability'!G6:G37,"Planned")</x:f>
        <x:v>1</x:v>
      </x:c>
      <x:c r="F22" s="29" t="str">
        <x:v>Secret scan / .gitignore</x:v>
      </x:c>
      <x:c r="G22" s="29" t="str">
        <x:v>No tracked secrets found</x:v>
      </x:c>
      <x:c r="H22" s="29" t="str">
        <x:v>Git scans and .gitignore</x:v>
      </x:c>
      <x:c r="I22" s="29" t="str">
        <x:v>Credential exposure</x:v>
      </x:c>
      <x:c r="J22" s="29" t="str">
        <x:v>Ready</x:v>
      </x:c>
    </x:row>
    <x:row r="23">
      <x:c r="F23" s="29" t="str">
        <x:v>Synthetic data and license</x:v>
      </x:c>
      <x:c r="G23" s="29" t="str">
        <x:v>Confirmed</x:v>
      </x:c>
      <x:c r="H23" s="29" t="str">
        <x:v>Policies, README, MIT License</x:v>
      </x:c>
      <x:c r="I23" s="29" t="str">
        <x:v>Privacy/IP objection</x:v>
      </x:c>
      <x:c r="J23" s="29" t="str">
        <x:v>Ready</x:v>
      </x:c>
    </x:row>
    <x:row r="25">
      <x:c r="A25" s="93" t="str">
        <x:v>Stage 2 Claude Gate — Not Yet Implemented</x:v>
      </x:c>
      <x:c r="B25" s="93"/>
      <x:c r="C25" s="93"/>
      <x:c r="D25" s="93"/>
      <x:c r="E25" s="93"/>
      <x:c r="F25" s="93"/>
      <x:c r="G25" s="93"/>
      <x:c r="H25" s="93"/>
      <x:c r="I25" s="93"/>
      <x:c r="J25" s="93"/>
    </x:row>
    <x:row r="26">
      <x:c r="A26" s="38" t="str">
        <x:v>Gate</x:v>
      </x:c>
      <x:c r="B26" s="38" t="str">
        <x:v>Why Required</x:v>
      </x:c>
      <x:c r="C26" s="38" t="str">
        <x:v>Required Evidence</x:v>
      </x:c>
      <x:c r="D26" s="38" t="str">
        <x:v>Owner</x:v>
      </x:c>
      <x:c r="E26" s="38" t="str">
        <x:v>Status</x:v>
      </x:c>
      <x:c r="F26" t="str"/>
      <x:c r="G26" t="str"/>
      <x:c r="H26" t="str"/>
      <x:c r="I26" t="str"/>
      <x:c r="J26" t="str"/>
    </x:row>
    <x:row r="27">
      <x:c r="A27" s="29" t="str">
        <x:v>Supplier and data-use assessment</x:v>
      </x:c>
      <x:c r="B27" s="29" t="str">
        <x:v>Claude introduces an external processor and contractual/data-retention considerations.</x:v>
      </x:c>
      <x:c r="C27" s="29" t="str">
        <x:v>Supplier assessment, terms review, data-flow update</x:v>
      </x:c>
      <x:c r="D27" s="29" t="str">
        <x:v>Governance / Privacy</x:v>
      </x:c>
      <x:c r="E27" s="29" t="str">
        <x:v>Planned</x:v>
      </x:c>
      <x:c r="F27" t="str"/>
      <x:c r="G27" t="str"/>
      <x:c r="H27" t="str"/>
      <x:c r="I27" t="str"/>
      <x:c r="J27" t="str"/>
    </x:row>
    <x:row r="28">
      <x:c r="A28" s="29" t="str">
        <x:v>API key and secret management</x:v>
      </x:c>
      <x:c r="B28" s="29" t="str">
        <x:v>Public code must never contain credentials.</x:v>
      </x:c>
      <x:c r="C28" s="29" t="str">
        <x:v>Secret manager or protected deployment secret; rotation process</x:v>
      </x:c>
      <x:c r="D28" s="29" t="str">
        <x:v>Security / Technical</x:v>
      </x:c>
      <x:c r="E28" s="29" t="str">
        <x:v>Planned</x:v>
      </x:c>
      <x:c r="F28" t="str"/>
      <x:c r="G28" t="str"/>
      <x:c r="H28" t="str"/>
      <x:c r="I28" t="str"/>
      <x:c r="J28" t="str"/>
    </x:row>
    <x:row r="29">
      <x:c r="A29" s="29" t="str">
        <x:v>Model evaluation and output controls</x:v>
      </x:c>
      <x:c r="B29" s="29" t="str">
        <x:v>Generated answers can hallucinate or exceed policy context.</x:v>
      </x:c>
      <x:c r="C29" s="29" t="str">
        <x:v>Groundedness, privacy, injection, refusal, citation, and regression test suite</x:v>
      </x:c>
      <x:c r="D29" s="29" t="str">
        <x:v>Technical / HR</x:v>
      </x:c>
      <x:c r="E29" s="29" t="str">
        <x:v>Planned</x:v>
      </x:c>
      <x:c r="F29" t="str"/>
      <x:c r="G29" t="str"/>
      <x:c r="H29" t="str"/>
      <x:c r="I29" t="str"/>
      <x:c r="J29" t="str"/>
    </x:row>
  </x:sheetData>
  <x:mergeCells>
    <x:mergeCell ref="A1:J2"/>
    <x:mergeCell ref="A3:J3"/>
    <x:mergeCell ref="A9:D9"/>
    <x:mergeCell ref="F9:I9"/>
    <x:mergeCell ref="A17:D17"/>
    <x:mergeCell ref="F17:J17"/>
    <x:mergeCell ref="A25:J25"/>
  </x:mergeCells>
  <x:conditionalFormatting sqref="D11:D14">
    <x:cfRule type="dataBar" priority="1">
      <x:dataBar>
        <x:cfvo type="min"/>
        <x:cfvo type="max"/>
        <x:color rgb="FF0F6B78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I11:I14">
    <x:cfRule type="dataBar" priority="2">
      <x:dataBar>
        <x:cfvo type="min"/>
        <x:cfvo type="max"/>
        <x:color rgb="FF17365D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J19:J23">
    <x:cfRule type="expression" dxfId="9" priority="3">
      <x:formula>J19="Ready"</x:formula>
    </x:cfRule>
  </x:conditionalFormatting>
  <x:conditionalFormatting sqref="E27:E29">
    <x:cfRule type="expression" dxfId="10" priority="4">
      <x:formula>E27="Planned"</x:formula>
    </x:cfRule>
  </x:conditionalFormatting>
  <x:pageMargins left="0.7" right="0.7" top="0.75" bottom="0.75" header="0.3" footer="0.3"/>
  <x:drawing xmlns:r="http://schemas.openxmlformats.org/officeDocument/2006/relationships" r:id="Rbcc4e751edba445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F6B78"/>
            </x14:dataBar>
          </x14:cfRule>
          <xm:sqref>D11:D14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17365D"/>
            </x14:dataBar>
          </x14:cfRule>
          <xm:sqref>I11:I14</xm:sqref>
        </x14:conditionalFormatting>
      </x14:conditionalFormattings>
    </x:ext>
  </x:extLst>
</x:worksheet>
</file>